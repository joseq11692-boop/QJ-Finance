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Tablero" sheetId="2" state="visible" r:id="rId4"/>
    <sheet name="Supuestos" sheetId="3" state="visible" r:id="rId5"/>
    <sheet name="Deudas" sheetId="4" state="visible" r:id="rId6"/>
    <sheet name="Flujo 24 meses" sheetId="5" state="visible" r:id="rId7"/>
    <sheet name="Flujo 13 seman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<sst xmlns="http://schemas.openxmlformats.org/spreadsheetml/2006/main" count="197" uniqueCount="185">
  <si>
    <t xml:space="preserve">Modelo financiero QJ: Firma de abogados + Josefine Auto</t>
  </si>
  <si>
    <t xml:space="preserve">Para qué sirve</t>
  </si>
  <si>
    <t xml:space="preserve">Proyecta 24 meses de caja con los dos negocios juntos y te dice en qué mes Josefine Auto puede sostenerte sola (el 'salto').</t>
  </si>
  <si>
    <t xml:space="preserve">También incluye un flujo de caja de 13 semanas para controlar la crisis de liquidez semana a semana.</t>
  </si>
  <si>
    <t xml:space="preserve">Cómo usarlo</t>
  </si>
  <si>
    <t xml:space="preserve">1. Hoja 'Supuestos': reemplaza los valores de ejemplo por tus números reales. Solo edita las celdas con fondo amarillo y texto azul.</t>
  </si>
  <si>
    <t xml:space="preserve">2. Hoja 'Deudas': escribe cada deuda (saldo, tasa, cuota, meses restantes). Las 3 primeras filas son EJEMPLOS: bórralas o sobrescríbelas.</t>
  </si>
  <si>
    <t xml:space="preserve">3. Hoja 'Supuestos', celda B4: cambia el escenario (Pesimista / Base / Optimista) para ver cómo cambia todo.</t>
  </si>
  <si>
    <t xml:space="preserve">4. Hoja 'Tablero': lee los resultados clave. No se edita.</t>
  </si>
  <si>
    <t xml:space="preserve">5. Hoja 'Flujo 13 semanas': cada lunes llena lo que realmente entró y salió. La semana 1 trae valores de ejemplo.</t>
  </si>
  <si>
    <t xml:space="preserve">Código de colores</t>
  </si>
  <si>
    <t xml:space="preserve">Texto azul con fondo amarillo = dato que tú cambias.   Texto negro = fórmula (no tocar).   Texto verde = dato traído de otra hoja.</t>
  </si>
  <si>
    <t xml:space="preserve">Las 3 condiciones para dar el salto a Josefine como negocio principal (todas a la vez)</t>
  </si>
  <si>
    <t xml:space="preserve">A. La utilidad neta de Josefine cubre tus gastos personales + cuotas de deudas durante 3 meses seguidos.</t>
  </si>
  <si>
    <t xml:space="preserve">B. Tu caja acumulada es igual o mayor a N meses de esos compromisos (N se define en Supuestos).</t>
  </si>
  <si>
    <t xml:space="preserve">C. La caja nunca se ha vuelto negativa (aproximación a: ninguna cuota en mora, APC limpia).</t>
  </si>
  <si>
    <t xml:space="preserve">Advertencias</t>
  </si>
  <si>
    <t xml:space="preserve">TODOS los valores iniciales son EJEMPLOS ilustrativos, no tus datos reales. El modelo no vale nada hasta que pongas tus números.</t>
  </si>
  <si>
    <t xml:space="preserve">Los conteos (igualas, carros) son valores esperados promedio y pueden salir con decimales.</t>
  </si>
  <si>
    <t xml:space="preserve">El agente residente se cobra una vez al año; aquí se reparte mes a mes para mostrar el ingreso promedio.</t>
  </si>
  <si>
    <t xml:space="preserve">La reserva de impuestos es una aproximación. Valida tu situación fiscal (ISR, ITBMS) con tu contador.</t>
  </si>
  <si>
    <t xml:space="preserve">Tablero de decisión (no editar: cambia los datos en Supuestos y Deudas)</t>
  </si>
  <si>
    <t xml:space="preserve">ESCENARIO</t>
  </si>
  <si>
    <t xml:space="preserve">Escenario activo</t>
  </si>
  <si>
    <t xml:space="preserve">ALERTAS DE CAJA</t>
  </si>
  <si>
    <t xml:space="preserve">Mes en que la caja se vuelve negativa</t>
  </si>
  <si>
    <t xml:space="preserve">Mes en que la caja cae bajo la reserva mínima</t>
  </si>
  <si>
    <t xml:space="preserve">Flujo neto del mes 1</t>
  </si>
  <si>
    <t xml:space="preserve">Ingreso extra necesario en el mes 1 para no perder caja</t>
  </si>
  <si>
    <t xml:space="preserve">Caja más baja en 24 meses</t>
  </si>
  <si>
    <t xml:space="preserve">DECISIÓN SOBRE JOSEFINE AUTO</t>
  </si>
  <si>
    <t xml:space="preserve">Mes en que estás LISTO PARA EL SALTO</t>
  </si>
  <si>
    <t xml:space="preserve">Primer mes en que Josefine cubre tus compromisos</t>
  </si>
  <si>
    <t xml:space="preserve">Utilidad de Josefine: mes 6</t>
  </si>
  <si>
    <t xml:space="preserve">Utilidad de Josefine: mes 12</t>
  </si>
  <si>
    <t xml:space="preserve">Compromisos personales: mes 12 (gastos + cuotas)</t>
  </si>
  <si>
    <t xml:space="preserve">FIRMA DE ABOGADOS</t>
  </si>
  <si>
    <t xml:space="preserve">Ingresos de la firma: mes 6</t>
  </si>
  <si>
    <t xml:space="preserve">Ingresos de la firma: mes 12</t>
  </si>
  <si>
    <t xml:space="preserve">Igualas activas: mes 12</t>
  </si>
  <si>
    <t xml:space="preserve">CAJA Y DEUDA</t>
  </si>
  <si>
    <t xml:space="preserve">Caja al final del mes 6</t>
  </si>
  <si>
    <t xml:space="preserve">Caja al final del mes 12</t>
  </si>
  <si>
    <t xml:space="preserve">Caja al final del mes 24</t>
  </si>
  <si>
    <t xml:space="preserve">Deuda total actual</t>
  </si>
  <si>
    <t xml:space="preserve">Cuotas mensuales actuales</t>
  </si>
  <si>
    <t xml:space="preserve">Intereses mensuales aproximados</t>
  </si>
  <si>
    <t xml:space="preserve">Prueba los 3 escenarios en Supuestos!B4. Si incluso en Pesimista la caja no se vuelve negativa, el plan es robusto.</t>
  </si>
  <si>
    <t xml:space="preserve">Supuestos (cambia solo las celdas amarillas)</t>
  </si>
  <si>
    <t xml:space="preserve">Base</t>
  </si>
  <si>
    <t xml:space="preserve">Elige: Pesimista, Base u Optimista</t>
  </si>
  <si>
    <t xml:space="preserve">Multiplicador de volumen: Pesimista</t>
  </si>
  <si>
    <t xml:space="preserve">Ejemplo: se vende y se capta el 60% de lo esperado</t>
  </si>
  <si>
    <t xml:space="preserve">Multiplicador de volumen: Base</t>
  </si>
  <si>
    <t xml:space="preserve">Escenario esperado</t>
  </si>
  <si>
    <t xml:space="preserve">Multiplicador de volumen: Optimista</t>
  </si>
  <si>
    <t xml:space="preserve">Ejemplo: 30% más de lo esperado</t>
  </si>
  <si>
    <t xml:space="preserve">Multiplicador activo</t>
  </si>
  <si>
    <t xml:space="preserve">Se aplica a captación de clientes, carros vendidos y servicios</t>
  </si>
  <si>
    <t xml:space="preserve">CAJA Y GASTOS PERSONALES</t>
  </si>
  <si>
    <t xml:space="preserve">Ahorros iniciales ($)</t>
  </si>
  <si>
    <t xml:space="preserve">Dato del usuario: fondo de ahorro actual</t>
  </si>
  <si>
    <t xml:space="preserve">Reserva mínima intocable ($)</t>
  </si>
  <si>
    <t xml:space="preserve">Recomendación del plan: no bajar de aquí</t>
  </si>
  <si>
    <t xml:space="preserve">Gastos fijos personales mensuales ($)</t>
  </si>
  <si>
    <t xml:space="preserve">EJEMPLO: alquiler, comida, servicios, colegios, etc. (sin cuotas de deudas)</t>
  </si>
  <si>
    <t xml:space="preserve">Meses de reserva requeridos para el salto</t>
  </si>
  <si>
    <t xml:space="preserve">Condición B del salto</t>
  </si>
  <si>
    <t xml:space="preserve">Reserva para impuestos sobre utilidad (%)</t>
  </si>
  <si>
    <t xml:space="preserve">EJEMPLO: aproximación; validar con contador</t>
  </si>
  <si>
    <t xml:space="preserve">FIRMA DE ABOGADOS (modo 'renta fija', 10-15 h/semana)</t>
  </si>
  <si>
    <t xml:space="preserve">Igualas activas al inicio</t>
  </si>
  <si>
    <t xml:space="preserve">EJEMPLO</t>
  </si>
  <si>
    <t xml:space="preserve">Igualas nuevas por mes</t>
  </si>
  <si>
    <t xml:space="preserve">EJEMPLO: meta de 10 igualas en ~6 meses</t>
  </si>
  <si>
    <t xml:space="preserve">Cuota mensual promedio por iguala ($)</t>
  </si>
  <si>
    <t xml:space="preserve">EJEMPLO: referencia $150-600 según paquete</t>
  </si>
  <si>
    <t xml:space="preserve">Cancelación mensual de igualas (%)</t>
  </si>
  <si>
    <t xml:space="preserve">EJEMPLO: clientes que se van cada mes</t>
  </si>
  <si>
    <t xml:space="preserve">Máximo de igualas (capacidad de tiempo)</t>
  </si>
  <si>
    <t xml:space="preserve">EJEMPLO: tope para no quitarle tiempo a Josefine</t>
  </si>
  <si>
    <t xml:space="preserve">Sociedades con agente residente al inicio</t>
  </si>
  <si>
    <t xml:space="preserve">Nuevas sociedades por mes</t>
  </si>
  <si>
    <t xml:space="preserve">Tarifa anual de agente residente ($)</t>
  </si>
  <si>
    <t xml:space="preserve">EJEMPLO: referencia $150-300 al año</t>
  </si>
  <si>
    <t xml:space="preserve">Casos puntuales y cobranza: ingreso mensual ($)</t>
  </si>
  <si>
    <t xml:space="preserve">EJEMPLO: trabajos sueltos de precio fijo y cobranza por resultado</t>
  </si>
  <si>
    <t xml:space="preserve">Gastos fijos mensuales de la firma ($)</t>
  </si>
  <si>
    <t xml:space="preserve">EJEMPLO: oficina, Colegio, software, teléfono</t>
  </si>
  <si>
    <t xml:space="preserve">JOSEFINE AUTO (modelo de bajo capital: consignación + servicios)</t>
  </si>
  <si>
    <t xml:space="preserve">Carros vendidos en el mes 1</t>
  </si>
  <si>
    <t xml:space="preserve">Aumento de carros vendidos cada mes</t>
  </si>
  <si>
    <t xml:space="preserve">EJEMPLO: +1 carro cada 2 meses</t>
  </si>
  <si>
    <t xml:space="preserve">Máximo de carros por mes (capacidad)</t>
  </si>
  <si>
    <t xml:space="preserve">Precio promedio de venta por carro ($)</t>
  </si>
  <si>
    <t xml:space="preserve">Comisión por consignación (%)</t>
  </si>
  <si>
    <t xml:space="preserve">EJEMPLO: referencia 5-8%</t>
  </si>
  <si>
    <t xml:space="preserve">Comisión de financiera / seguro por carro ($)</t>
  </si>
  <si>
    <t xml:space="preserve">Costo directo por carro ($)</t>
  </si>
  <si>
    <t xml:space="preserve">EJEMPLO: detailing, fotos, traspaso, pequeñas reparaciones</t>
  </si>
  <si>
    <t xml:space="preserve">Servicios (traspasos, inspecciones): ingreso mes 1 ($)</t>
  </si>
  <si>
    <t xml:space="preserve">Crecimiento mensual de servicios (%)</t>
  </si>
  <si>
    <t xml:space="preserve">Gastos fijos mensuales de Josefine ($)</t>
  </si>
  <si>
    <t xml:space="preserve">Marketing mensual de Josefine ($)</t>
  </si>
  <si>
    <t xml:space="preserve">EJEMPLO: Marketplace, Instagram, Encuentra24, fotos</t>
  </si>
  <si>
    <t xml:space="preserve">Deudas (las filas 4-6 son EJEMPLOS: reemplázalas por tus deudas reales)</t>
  </si>
  <si>
    <t xml:space="preserve">Acreedor</t>
  </si>
  <si>
    <t xml:space="preserve">Tipo</t>
  </si>
  <si>
    <t xml:space="preserve">Saldo ($)</t>
  </si>
  <si>
    <t xml:space="preserve">Tasa anual (%)</t>
  </si>
  <si>
    <t xml:space="preserve">Cuota mensual ($)</t>
  </si>
  <si>
    <t xml:space="preserve">Meses restantes</t>
  </si>
  <si>
    <t xml:space="preserve">Prioridad (1 = pagar primero)</t>
  </si>
  <si>
    <t xml:space="preserve">Interés mensual aprox. ($)</t>
  </si>
  <si>
    <t xml:space="preserve">Banco A (ejemplo)</t>
  </si>
  <si>
    <t xml:space="preserve">Préstamo de auto</t>
  </si>
  <si>
    <t xml:space="preserve">Banco B (ejemplo)</t>
  </si>
  <si>
    <t xml:space="preserve">Préstamo personal</t>
  </si>
  <si>
    <t xml:space="preserve">Banco C (ejemplo)</t>
  </si>
  <si>
    <t xml:space="preserve">Tarjeta de crédito</t>
  </si>
  <si>
    <t xml:space="preserve">TOTAL</t>
  </si>
  <si>
    <t xml:space="preserve">Orden de pago sugerido en crisis: 1) deudas con garantía (auto, hipoteca), 2) préstamos personales, 3) tarjetas. Negocia ANTES de atrasarte para proteger tu historial en la APC.</t>
  </si>
  <si>
    <t xml:space="preserve">'Meses restantes' define hasta qué mes del modelo se paga la cuota.</t>
  </si>
  <si>
    <t xml:space="preserve">Proyección mensual a 24 meses (todo son fórmulas: no editar)</t>
  </si>
  <si>
    <t xml:space="preserve">Mes</t>
  </si>
  <si>
    <t xml:space="preserve">Igualas activas (#)</t>
  </si>
  <si>
    <t xml:space="preserve">Ingreso por igualas</t>
  </si>
  <si>
    <t xml:space="preserve">Sociedades con agente residente (#)</t>
  </si>
  <si>
    <t xml:space="preserve">Ingreso agente residente (anual repartido por mes)</t>
  </si>
  <si>
    <t xml:space="preserve">Casos puntuales y cobranza</t>
  </si>
  <si>
    <t xml:space="preserve">Total ingresos de la firma</t>
  </si>
  <si>
    <t xml:space="preserve">Gastos fijos de la firma</t>
  </si>
  <si>
    <t xml:space="preserve">Utilidad de la firma</t>
  </si>
  <si>
    <t xml:space="preserve">JOSEFINE AUTO</t>
  </si>
  <si>
    <t xml:space="preserve">Carros vendidos (#)</t>
  </si>
  <si>
    <t xml:space="preserve">Comisiones por consignación</t>
  </si>
  <si>
    <t xml:space="preserve">Comisiones de financiera / seguro</t>
  </si>
  <si>
    <t xml:space="preserve">Servicios (traspasos, inspecciones)</t>
  </si>
  <si>
    <t xml:space="preserve">Total ingresos de Josefine</t>
  </si>
  <si>
    <t xml:space="preserve">Costos directos por carro</t>
  </si>
  <si>
    <t xml:space="preserve">Gastos fijos de Josefine</t>
  </si>
  <si>
    <t xml:space="preserve">Marketing de Josefine</t>
  </si>
  <si>
    <t xml:space="preserve">Utilidad de Josefine</t>
  </si>
  <si>
    <t xml:space="preserve">CONSOLIDADO Y CAJA</t>
  </si>
  <si>
    <t xml:space="preserve">Utilidad de los dos negocios</t>
  </si>
  <si>
    <t xml:space="preserve">Reserva para impuestos</t>
  </si>
  <si>
    <t xml:space="preserve">Gastos personales</t>
  </si>
  <si>
    <t xml:space="preserve">Cuotas de deudas</t>
  </si>
  <si>
    <t xml:space="preserve">Flujo neto del mes</t>
  </si>
  <si>
    <t xml:space="preserve">Caja al inicio del mes</t>
  </si>
  <si>
    <t xml:space="preserve">Caja al final del mes</t>
  </si>
  <si>
    <t xml:space="preserve">SEMÁFOROS DEL SALTO (SÍ / NO)</t>
  </si>
  <si>
    <t xml:space="preserve">Compromisos personales (gastos + cuotas)</t>
  </si>
  <si>
    <t xml:space="preserve">Josefine cubre los compromisos este mes</t>
  </si>
  <si>
    <t xml:space="preserve">A. Lo cubre 3 meses seguidos</t>
  </si>
  <si>
    <t xml:space="preserve">B. Caja ≥ meses de reserva requeridos</t>
  </si>
  <si>
    <t xml:space="preserve">C. La caja nunca ha sido negativa</t>
  </si>
  <si>
    <t xml:space="preserve">LISTO PARA EL SALTO (A + B + C)</t>
  </si>
  <si>
    <t xml:space="preserve">Alerta: caja bajo la reserva mínima</t>
  </si>
  <si>
    <t xml:space="preserve">Alerta: caja negativa</t>
  </si>
  <si>
    <t xml:space="preserve">Flujo de caja de 13 semanas (actualízalo cada lunes; la semana 1 trae un EJEMPLO)</t>
  </si>
  <si>
    <t xml:space="preserve">Semana</t>
  </si>
  <si>
    <t xml:space="preserve">Caja al inicio de la semana</t>
  </si>
  <si>
    <t xml:space="preserve">ENTRADAS</t>
  </si>
  <si>
    <t xml:space="preserve">Cobros de honorarios pendientes</t>
  </si>
  <si>
    <t xml:space="preserve">Igualas mensuales</t>
  </si>
  <si>
    <t xml:space="preserve">Josefine: comisiones y ventas</t>
  </si>
  <si>
    <t xml:space="preserve">Josefine: servicios</t>
  </si>
  <si>
    <t xml:space="preserve">Otros ingresos</t>
  </si>
  <si>
    <t xml:space="preserve">Total entradas</t>
  </si>
  <si>
    <t xml:space="preserve">SALIDAS</t>
  </si>
  <si>
    <t xml:space="preserve">Cuotas con garantía (auto, hipoteca)</t>
  </si>
  <si>
    <t xml:space="preserve">Alquiler / oficina</t>
  </si>
  <si>
    <t xml:space="preserve">Planilla / ayudantes</t>
  </si>
  <si>
    <t xml:space="preserve">Préstamos personales</t>
  </si>
  <si>
    <t xml:space="preserve">Tarjetas de crédito (mínimo o arreglo)</t>
  </si>
  <si>
    <t xml:space="preserve">Servicios (luz, agua, internet, teléfono)</t>
  </si>
  <si>
    <t xml:space="preserve">Gastos personales y familia</t>
  </si>
  <si>
    <t xml:space="preserve">Marketing</t>
  </si>
  <si>
    <t xml:space="preserve">Otros gastos</t>
  </si>
  <si>
    <t xml:space="preserve">Total salidas</t>
  </si>
  <si>
    <t xml:space="preserve">Flujo neto de la semana</t>
  </si>
  <si>
    <t xml:space="preserve">Caja al final de la semana</t>
  </si>
  <si>
    <t xml:space="preserve">Alerta</t>
  </si>
  <si>
    <t xml:space="preserve">Regla: la primera semana que diga NEGATIVA es tu fecha límite real. Negocia con el banco y cobra antes de esa semana.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</si>
</sst>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0"/>
    <numFmt numFmtId="167" formatCode="\$#,##0;&quot;($&quot;#,##0\);\-"/>
    <numFmt numFmtId="168" formatCode="#,##0.0;\(#,##0.0\);\-"/>
    <numFmt numFmtId="169" formatCode="0.00\x"/>
    <numFmt numFmtId="170" formatCode="0.0%;\(0.0%\);\-"/>
    <numFmt numFmtId="171" formatCode="0.0"/>
    <numFmt numFmtId="172" formatCode="&quot;SÍ&quot;;&quot;SÍ&quot;;&quot;NO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6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26.85" hidden="false" customHeight="false" outlineLevel="0" collapsed="false">
      <c r="A8" s="2" t="s">
        <v>5</v>
      </c>
    </row>
    <row r="9" customFormat="false" ht="26.8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26.8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16</v>
      </c>
    </row>
    <row r="23" customFormat="false" ht="26.8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6"/>
  </cols>
  <sheetData>
    <row r="1" customFormat="false" ht="17.35" hidden="false" customHeight="false" outlineLevel="0" collapsed="false">
      <c r="A1" s="4" t="s">
        <v>21</v>
      </c>
    </row>
    <row r="3" customFormat="false" ht="15" hidden="false" customHeight="false" outlineLevel="0" collapsed="false">
      <c r="A3" s="5" t="s">
        <v>22</v>
      </c>
      <c r="B3" s="6"/>
    </row>
    <row r="4" customFormat="false" ht="15" hidden="false" customHeight="false" outlineLevel="0" collapsed="false">
      <c r="A4" s="7" t="s">
        <v>23</v>
      </c>
      <c r="B4" s="8" t="str">
        <f aca="false">Supuestos!$B$4</f>
        <v>Base</v>
      </c>
    </row>
    <row r="5" customFormat="false" ht="15" hidden="false" customHeight="false" outlineLevel="0" collapsed="false">
      <c r="A5" s="7"/>
    </row>
    <row r="6" customFormat="false" ht="15" hidden="false" customHeight="false" outlineLevel="0" collapsed="false">
      <c r="A6" s="5" t="s">
        <v>24</v>
      </c>
      <c r="B6" s="6"/>
    </row>
    <row r="7" customFormat="false" ht="15" hidden="false" customHeight="false" outlineLevel="0" collapsed="false">
      <c r="A7" s="7" t="s">
        <v>25</v>
      </c>
      <c r="B7" s="9" t="str">
        <f aca="false">IFERROR(MATCH(1,'Flujo 24 meses'!$B$43:$Y$43,0),"No ocurre en 24 meses")</f>
        <v>No ocurre en 24 meses</v>
      </c>
    </row>
    <row r="8" customFormat="false" ht="15" hidden="false" customHeight="false" outlineLevel="0" collapsed="false">
      <c r="A8" s="7" t="s">
        <v>26</v>
      </c>
      <c r="B8" s="9" t="n">
        <f aca="false">IFERROR(MATCH(1,'Flujo 24 meses'!$B$42:$Y$42,0),"No ocurre en 24 meses")</f>
        <v>2</v>
      </c>
    </row>
    <row r="9" customFormat="false" ht="15" hidden="false" customHeight="false" outlineLevel="0" collapsed="false">
      <c r="A9" s="7" t="s">
        <v>27</v>
      </c>
      <c r="B9" s="10" t="n">
        <f aca="false">'Flujo 24 meses'!B31</f>
        <v>-2214.5</v>
      </c>
    </row>
    <row r="10" customFormat="false" ht="15" hidden="false" customHeight="false" outlineLevel="0" collapsed="false">
      <c r="A10" s="7" t="s">
        <v>28</v>
      </c>
      <c r="B10" s="10" t="n">
        <f aca="false">MAX(0,-'Flujo 24 meses'!B31)</f>
        <v>2214.5</v>
      </c>
    </row>
    <row r="11" customFormat="false" ht="15" hidden="false" customHeight="false" outlineLevel="0" collapsed="false">
      <c r="A11" s="7" t="s">
        <v>29</v>
      </c>
      <c r="B11" s="10" t="n">
        <f aca="false">MIN('Flujo 24 meses'!$B$33:$Y$33)</f>
        <v>809.20925</v>
      </c>
    </row>
    <row r="12" customFormat="false" ht="15" hidden="false" customHeight="false" outlineLevel="0" collapsed="false">
      <c r="A12" s="7"/>
    </row>
    <row r="13" customFormat="false" ht="15" hidden="false" customHeight="false" outlineLevel="0" collapsed="false">
      <c r="A13" s="5" t="s">
        <v>30</v>
      </c>
      <c r="B13" s="6"/>
    </row>
    <row r="14" customFormat="false" ht="15" hidden="false" customHeight="false" outlineLevel="0" collapsed="false">
      <c r="A14" s="7" t="s">
        <v>31</v>
      </c>
      <c r="B14" s="9" t="n">
        <f aca="false">IFERROR(MATCH(1,'Flujo 24 meses'!$B$41:$Y$41,0),"Todavía no en 24 meses")</f>
        <v>11</v>
      </c>
    </row>
    <row r="15" customFormat="false" ht="15" hidden="false" customHeight="false" outlineLevel="0" collapsed="false">
      <c r="A15" s="7" t="s">
        <v>32</v>
      </c>
      <c r="B15" s="9" t="n">
        <f aca="false">IFERROR(MATCH(1,'Flujo 24 meses'!$B$37:$Y$37,0),"Todavía no en 24 meses")</f>
        <v>9</v>
      </c>
    </row>
    <row r="16" customFormat="false" ht="15" hidden="false" customHeight="false" outlineLevel="0" collapsed="false">
      <c r="A16" s="7" t="s">
        <v>33</v>
      </c>
      <c r="B16" s="10" t="n">
        <f aca="false">'Flujo 24 meses'!G24</f>
        <v>2410.79842304</v>
      </c>
    </row>
    <row r="17" customFormat="false" ht="15" hidden="false" customHeight="false" outlineLevel="0" collapsed="false">
      <c r="A17" s="7" t="s">
        <v>34</v>
      </c>
      <c r="B17" s="10" t="n">
        <f aca="false">'Flujo 24 meses'!M24</f>
        <v>4469.49169911638</v>
      </c>
    </row>
    <row r="18" customFormat="false" ht="15" hidden="false" customHeight="false" outlineLevel="0" collapsed="false">
      <c r="A18" s="7" t="s">
        <v>35</v>
      </c>
      <c r="B18" s="10" t="n">
        <f aca="false">'Flujo 24 meses'!M36</f>
        <v>3500</v>
      </c>
    </row>
    <row r="19" customFormat="false" ht="15" hidden="false" customHeight="false" outlineLevel="0" collapsed="false">
      <c r="A19" s="7"/>
    </row>
    <row r="20" customFormat="false" ht="15" hidden="false" customHeight="false" outlineLevel="0" collapsed="false">
      <c r="A20" s="5" t="s">
        <v>36</v>
      </c>
      <c r="B20" s="6"/>
    </row>
    <row r="21" customFormat="false" ht="15" hidden="false" customHeight="false" outlineLevel="0" collapsed="false">
      <c r="A21" s="7" t="s">
        <v>37</v>
      </c>
      <c r="B21" s="10" t="n">
        <f aca="false">'Flujo 24 meses'!G11</f>
        <v>3781.5351484375</v>
      </c>
    </row>
    <row r="22" customFormat="false" ht="15" hidden="false" customHeight="false" outlineLevel="0" collapsed="false">
      <c r="A22" s="7" t="s">
        <v>38</v>
      </c>
      <c r="B22" s="10" t="n">
        <f aca="false">'Flujo 24 meses'!M11</f>
        <v>5400</v>
      </c>
    </row>
    <row r="23" customFormat="false" ht="15" hidden="false" customHeight="false" outlineLevel="0" collapsed="false">
      <c r="A23" s="7" t="s">
        <v>39</v>
      </c>
      <c r="B23" s="11" t="n">
        <f aca="false">'Flujo 24 meses'!M6</f>
        <v>12</v>
      </c>
    </row>
    <row r="24" customFormat="false" ht="15" hidden="false" customHeight="false" outlineLevel="0" collapsed="false">
      <c r="A24" s="7"/>
    </row>
    <row r="25" customFormat="false" ht="15" hidden="false" customHeight="false" outlineLevel="0" collapsed="false">
      <c r="A25" s="5" t="s">
        <v>40</v>
      </c>
      <c r="B25" s="6"/>
    </row>
    <row r="26" customFormat="false" ht="15" hidden="false" customHeight="false" outlineLevel="0" collapsed="false">
      <c r="A26" s="7" t="s">
        <v>41</v>
      </c>
      <c r="B26" s="10" t="n">
        <f aca="false">'Flujo 24 meses'!G33</f>
        <v>3684.44980165475</v>
      </c>
    </row>
    <row r="27" customFormat="false" ht="15" hidden="false" customHeight="false" outlineLevel="0" collapsed="false">
      <c r="A27" s="7" t="s">
        <v>42</v>
      </c>
      <c r="B27" s="10" t="n">
        <f aca="false">'Flujo 24 meses'!M33</f>
        <v>27681.1056603177</v>
      </c>
    </row>
    <row r="28" customFormat="false" ht="15" hidden="false" customHeight="false" outlineLevel="0" collapsed="false">
      <c r="A28" s="7" t="s">
        <v>43</v>
      </c>
      <c r="B28" s="10" t="n">
        <f aca="false">'Flujo 24 meses'!Y33</f>
        <v>97139.766504239</v>
      </c>
    </row>
    <row r="29" customFormat="false" ht="15" hidden="false" customHeight="false" outlineLevel="0" collapsed="false">
      <c r="A29" s="7" t="s">
        <v>44</v>
      </c>
      <c r="B29" s="10" t="n">
        <f aca="false">Deudas!C14</f>
        <v>19500</v>
      </c>
    </row>
    <row r="30" customFormat="false" ht="15" hidden="false" customHeight="false" outlineLevel="0" collapsed="false">
      <c r="A30" s="7" t="s">
        <v>45</v>
      </c>
      <c r="B30" s="10" t="n">
        <f aca="false">Deudas!E14</f>
        <v>1000</v>
      </c>
    </row>
    <row r="31" customFormat="false" ht="15" hidden="false" customHeight="false" outlineLevel="0" collapsed="false">
      <c r="A31" s="7" t="s">
        <v>46</v>
      </c>
      <c r="B31" s="10" t="n">
        <f aca="false">Deudas!H14</f>
        <v>254.166666666667</v>
      </c>
    </row>
    <row r="33" customFormat="false" ht="15" hidden="false" customHeight="false" outlineLevel="0" collapsed="false">
      <c r="A33" s="1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4" t="s">
        <v>48</v>
      </c>
    </row>
    <row r="3" customFormat="false" ht="15" hidden="false" customHeight="false" outlineLevel="0" collapsed="false">
      <c r="A3" s="5" t="s">
        <v>22</v>
      </c>
      <c r="B3" s="6"/>
      <c r="C3" s="6"/>
    </row>
    <row r="4" customFormat="false" ht="15" hidden="false" customHeight="false" outlineLevel="0" collapsed="false">
      <c r="A4" s="7" t="s">
        <v>23</v>
      </c>
      <c r="B4" s="13" t="s">
        <v>49</v>
      </c>
      <c r="C4" s="14" t="s">
        <v>50</v>
      </c>
    </row>
    <row r="5" customFormat="false" ht="15" hidden="false" customHeight="false" outlineLevel="0" collapsed="false">
      <c r="A5" s="7" t="s">
        <v>51</v>
      </c>
      <c r="B5" s="15" t="n">
        <v>0.6</v>
      </c>
      <c r="C5" s="14" t="s">
        <v>52</v>
      </c>
    </row>
    <row r="6" customFormat="false" ht="15" hidden="false" customHeight="false" outlineLevel="0" collapsed="false">
      <c r="A6" s="7" t="s">
        <v>53</v>
      </c>
      <c r="B6" s="15" t="n">
        <v>1</v>
      </c>
      <c r="C6" s="14" t="s">
        <v>54</v>
      </c>
    </row>
    <row r="7" customFormat="false" ht="15" hidden="false" customHeight="false" outlineLevel="0" collapsed="false">
      <c r="A7" s="7" t="s">
        <v>55</v>
      </c>
      <c r="B7" s="15" t="n">
        <v>1.3</v>
      </c>
      <c r="C7" s="14" t="s">
        <v>56</v>
      </c>
    </row>
    <row r="8" customFormat="false" ht="15" hidden="false" customHeight="false" outlineLevel="0" collapsed="false">
      <c r="A8" s="16" t="s">
        <v>57</v>
      </c>
      <c r="B8" s="17" t="n">
        <f aca="false">IF(B4="Pesimista",B5,IF(B4="Optimista",B7,B6))</f>
        <v>1</v>
      </c>
      <c r="C8" s="14" t="s">
        <v>58</v>
      </c>
    </row>
    <row r="10" customFormat="false" ht="15" hidden="false" customHeight="false" outlineLevel="0" collapsed="false">
      <c r="A10" s="5" t="s">
        <v>59</v>
      </c>
      <c r="B10" s="6"/>
      <c r="C10" s="6"/>
    </row>
    <row r="11" customFormat="false" ht="15" hidden="false" customHeight="false" outlineLevel="0" collapsed="false">
      <c r="A11" s="7" t="s">
        <v>60</v>
      </c>
      <c r="B11" s="18" t="n">
        <v>5000</v>
      </c>
      <c r="C11" s="14" t="s">
        <v>61</v>
      </c>
    </row>
    <row r="12" customFormat="false" ht="15" hidden="false" customHeight="false" outlineLevel="0" collapsed="false">
      <c r="A12" s="7" t="s">
        <v>62</v>
      </c>
      <c r="B12" s="18" t="n">
        <v>2500</v>
      </c>
      <c r="C12" s="14" t="s">
        <v>63</v>
      </c>
    </row>
    <row r="13" customFormat="false" ht="15" hidden="false" customHeight="false" outlineLevel="0" collapsed="false">
      <c r="A13" s="7" t="s">
        <v>64</v>
      </c>
      <c r="B13" s="18" t="n">
        <v>2500</v>
      </c>
      <c r="C13" s="14" t="s">
        <v>65</v>
      </c>
    </row>
    <row r="14" customFormat="false" ht="15" hidden="false" customHeight="false" outlineLevel="0" collapsed="false">
      <c r="A14" s="7" t="s">
        <v>66</v>
      </c>
      <c r="B14" s="19" t="n">
        <v>3</v>
      </c>
      <c r="C14" s="14" t="s">
        <v>67</v>
      </c>
    </row>
    <row r="15" customFormat="false" ht="15" hidden="false" customHeight="false" outlineLevel="0" collapsed="false">
      <c r="A15" s="7" t="s">
        <v>68</v>
      </c>
      <c r="B15" s="20" t="n">
        <v>0.1</v>
      </c>
      <c r="C15" s="14" t="s">
        <v>69</v>
      </c>
    </row>
    <row r="17" customFormat="false" ht="15" hidden="false" customHeight="false" outlineLevel="0" collapsed="false">
      <c r="A17" s="5" t="s">
        <v>70</v>
      </c>
      <c r="B17" s="6"/>
      <c r="C17" s="6"/>
    </row>
    <row r="18" customFormat="false" ht="15" hidden="false" customHeight="false" outlineLevel="0" collapsed="false">
      <c r="A18" s="7" t="s">
        <v>71</v>
      </c>
      <c r="B18" s="19" t="n">
        <v>0</v>
      </c>
      <c r="C18" s="14" t="s">
        <v>72</v>
      </c>
    </row>
    <row r="19" customFormat="false" ht="15" hidden="false" customHeight="false" outlineLevel="0" collapsed="false">
      <c r="A19" s="7" t="s">
        <v>73</v>
      </c>
      <c r="B19" s="21" t="n">
        <v>1.5</v>
      </c>
      <c r="C19" s="14" t="s">
        <v>74</v>
      </c>
    </row>
    <row r="20" customFormat="false" ht="15" hidden="false" customHeight="false" outlineLevel="0" collapsed="false">
      <c r="A20" s="7" t="s">
        <v>75</v>
      </c>
      <c r="B20" s="18" t="n">
        <v>350</v>
      </c>
      <c r="C20" s="14" t="s">
        <v>76</v>
      </c>
    </row>
    <row r="21" customFormat="false" ht="15" hidden="false" customHeight="false" outlineLevel="0" collapsed="false">
      <c r="A21" s="7" t="s">
        <v>77</v>
      </c>
      <c r="B21" s="20" t="n">
        <v>0.05</v>
      </c>
      <c r="C21" s="14" t="s">
        <v>78</v>
      </c>
    </row>
    <row r="22" customFormat="false" ht="15" hidden="false" customHeight="false" outlineLevel="0" collapsed="false">
      <c r="A22" s="7" t="s">
        <v>79</v>
      </c>
      <c r="B22" s="19" t="n">
        <v>12</v>
      </c>
      <c r="C22" s="14" t="s">
        <v>80</v>
      </c>
    </row>
    <row r="23" customFormat="false" ht="15" hidden="false" customHeight="false" outlineLevel="0" collapsed="false">
      <c r="A23" s="7" t="s">
        <v>81</v>
      </c>
      <c r="B23" s="19" t="n">
        <v>0</v>
      </c>
      <c r="C23" s="14" t="s">
        <v>72</v>
      </c>
    </row>
    <row r="24" customFormat="false" ht="15" hidden="false" customHeight="false" outlineLevel="0" collapsed="false">
      <c r="A24" s="7" t="s">
        <v>82</v>
      </c>
      <c r="B24" s="21" t="n">
        <v>2</v>
      </c>
      <c r="C24" s="14" t="s">
        <v>72</v>
      </c>
    </row>
    <row r="25" customFormat="false" ht="15" hidden="false" customHeight="false" outlineLevel="0" collapsed="false">
      <c r="A25" s="7" t="s">
        <v>83</v>
      </c>
      <c r="B25" s="18" t="n">
        <v>200</v>
      </c>
      <c r="C25" s="14" t="s">
        <v>84</v>
      </c>
    </row>
    <row r="26" customFormat="false" ht="15" hidden="false" customHeight="false" outlineLevel="0" collapsed="false">
      <c r="A26" s="7" t="s">
        <v>85</v>
      </c>
      <c r="B26" s="18" t="n">
        <v>800</v>
      </c>
      <c r="C26" s="14" t="s">
        <v>86</v>
      </c>
    </row>
    <row r="27" customFormat="false" ht="15" hidden="false" customHeight="false" outlineLevel="0" collapsed="false">
      <c r="A27" s="7" t="s">
        <v>87</v>
      </c>
      <c r="B27" s="18" t="n">
        <v>400</v>
      </c>
      <c r="C27" s="14" t="s">
        <v>88</v>
      </c>
    </row>
    <row r="29" customFormat="false" ht="15" hidden="false" customHeight="false" outlineLevel="0" collapsed="false">
      <c r="A29" s="5" t="s">
        <v>89</v>
      </c>
      <c r="B29" s="6"/>
      <c r="C29" s="6"/>
    </row>
    <row r="30" customFormat="false" ht="15" hidden="false" customHeight="false" outlineLevel="0" collapsed="false">
      <c r="A30" s="7" t="s">
        <v>90</v>
      </c>
      <c r="B30" s="21" t="n">
        <v>1</v>
      </c>
      <c r="C30" s="14" t="s">
        <v>72</v>
      </c>
    </row>
    <row r="31" customFormat="false" ht="15" hidden="false" customHeight="false" outlineLevel="0" collapsed="false">
      <c r="A31" s="7" t="s">
        <v>91</v>
      </c>
      <c r="B31" s="21" t="n">
        <v>0.5</v>
      </c>
      <c r="C31" s="14" t="s">
        <v>92</v>
      </c>
    </row>
    <row r="32" customFormat="false" ht="15" hidden="false" customHeight="false" outlineLevel="0" collapsed="false">
      <c r="A32" s="7" t="s">
        <v>93</v>
      </c>
      <c r="B32" s="21" t="n">
        <v>6</v>
      </c>
      <c r="C32" s="14" t="s">
        <v>72</v>
      </c>
    </row>
    <row r="33" customFormat="false" ht="15" hidden="false" customHeight="false" outlineLevel="0" collapsed="false">
      <c r="A33" s="7" t="s">
        <v>94</v>
      </c>
      <c r="B33" s="18" t="n">
        <v>12000</v>
      </c>
      <c r="C33" s="14" t="s">
        <v>72</v>
      </c>
    </row>
    <row r="34" customFormat="false" ht="15" hidden="false" customHeight="false" outlineLevel="0" collapsed="false">
      <c r="A34" s="7" t="s">
        <v>95</v>
      </c>
      <c r="B34" s="20" t="n">
        <v>0.06</v>
      </c>
      <c r="C34" s="14" t="s">
        <v>96</v>
      </c>
    </row>
    <row r="35" customFormat="false" ht="15" hidden="false" customHeight="false" outlineLevel="0" collapsed="false">
      <c r="A35" s="7" t="s">
        <v>97</v>
      </c>
      <c r="B35" s="18" t="n">
        <v>150</v>
      </c>
      <c r="C35" s="14" t="s">
        <v>72</v>
      </c>
    </row>
    <row r="36" customFormat="false" ht="15" hidden="false" customHeight="false" outlineLevel="0" collapsed="false">
      <c r="A36" s="7" t="s">
        <v>98</v>
      </c>
      <c r="B36" s="18" t="n">
        <v>150</v>
      </c>
      <c r="C36" s="14" t="s">
        <v>99</v>
      </c>
    </row>
    <row r="37" customFormat="false" ht="15" hidden="false" customHeight="false" outlineLevel="0" collapsed="false">
      <c r="A37" s="7" t="s">
        <v>100</v>
      </c>
      <c r="B37" s="18" t="n">
        <v>300</v>
      </c>
      <c r="C37" s="14" t="s">
        <v>72</v>
      </c>
    </row>
    <row r="38" customFormat="false" ht="15" hidden="false" customHeight="false" outlineLevel="0" collapsed="false">
      <c r="A38" s="7" t="s">
        <v>101</v>
      </c>
      <c r="B38" s="20" t="n">
        <v>0.08</v>
      </c>
      <c r="C38" s="14" t="s">
        <v>72</v>
      </c>
    </row>
    <row r="39" customFormat="false" ht="15" hidden="false" customHeight="false" outlineLevel="0" collapsed="false">
      <c r="A39" s="7" t="s">
        <v>102</v>
      </c>
      <c r="B39" s="18" t="n">
        <v>300</v>
      </c>
      <c r="C39" s="14" t="s">
        <v>72</v>
      </c>
    </row>
    <row r="40" customFormat="false" ht="15" hidden="false" customHeight="false" outlineLevel="0" collapsed="false">
      <c r="A40" s="7" t="s">
        <v>103</v>
      </c>
      <c r="B40" s="18" t="n">
        <v>250</v>
      </c>
      <c r="C40" s="14" t="s">
        <v>104</v>
      </c>
    </row>
  </sheetData>
  <dataValidations count="1">
    <dataValidation allowBlank="false" errorStyle="stop" operator="between" showDropDown="false" showErrorMessage="false" showInputMessage="false" sqref="B4" type="list">
      <formula1>"Pesimista,Base,Optimista"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26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4" t="s">
        <v>105</v>
      </c>
    </row>
    <row r="3" customFormat="false" ht="26.85" hidden="false" customHeight="false" outlineLevel="0" collapsed="false">
      <c r="A3" s="22" t="s">
        <v>106</v>
      </c>
      <c r="B3" s="22" t="s">
        <v>107</v>
      </c>
      <c r="C3" s="22" t="s">
        <v>108</v>
      </c>
      <c r="D3" s="22" t="s">
        <v>109</v>
      </c>
      <c r="E3" s="22" t="s">
        <v>110</v>
      </c>
      <c r="F3" s="22" t="s">
        <v>111</v>
      </c>
      <c r="G3" s="22" t="s">
        <v>112</v>
      </c>
      <c r="H3" s="22" t="s">
        <v>113</v>
      </c>
    </row>
    <row r="4" customFormat="false" ht="15" hidden="false" customHeight="false" outlineLevel="0" collapsed="false">
      <c r="A4" s="13" t="s">
        <v>114</v>
      </c>
      <c r="B4" s="13" t="s">
        <v>115</v>
      </c>
      <c r="C4" s="18" t="n">
        <v>9000</v>
      </c>
      <c r="D4" s="20" t="n">
        <v>0.09</v>
      </c>
      <c r="E4" s="18" t="n">
        <v>400</v>
      </c>
      <c r="F4" s="19" t="n">
        <v>24</v>
      </c>
      <c r="G4" s="19" t="n">
        <v>1</v>
      </c>
      <c r="H4" s="23" t="n">
        <f aca="false">IF(C4="","",C4*D4/12)</f>
        <v>67.5</v>
      </c>
    </row>
    <row r="5" customFormat="false" ht="15" hidden="false" customHeight="false" outlineLevel="0" collapsed="false">
      <c r="A5" s="13" t="s">
        <v>116</v>
      </c>
      <c r="B5" s="13" t="s">
        <v>117</v>
      </c>
      <c r="C5" s="18" t="n">
        <v>7000</v>
      </c>
      <c r="D5" s="20" t="n">
        <v>0.14</v>
      </c>
      <c r="E5" s="18" t="n">
        <v>350</v>
      </c>
      <c r="F5" s="19" t="n">
        <v>24</v>
      </c>
      <c r="G5" s="19" t="n">
        <v>2</v>
      </c>
      <c r="H5" s="23" t="n">
        <f aca="false">IF(C5="","",C5*D5/12)</f>
        <v>81.6666666666667</v>
      </c>
    </row>
    <row r="6" customFormat="false" ht="15" hidden="false" customHeight="false" outlineLevel="0" collapsed="false">
      <c r="A6" s="13" t="s">
        <v>118</v>
      </c>
      <c r="B6" s="13" t="s">
        <v>119</v>
      </c>
      <c r="C6" s="18" t="n">
        <v>3500</v>
      </c>
      <c r="D6" s="20" t="n">
        <v>0.36</v>
      </c>
      <c r="E6" s="18" t="n">
        <v>250</v>
      </c>
      <c r="F6" s="19" t="n">
        <v>18</v>
      </c>
      <c r="G6" s="19" t="n">
        <v>3</v>
      </c>
      <c r="H6" s="23" t="n">
        <f aca="false">IF(C6="","",C6*D6/12)</f>
        <v>105</v>
      </c>
    </row>
    <row r="7" customFormat="false" ht="15" hidden="false" customHeight="false" outlineLevel="0" collapsed="false">
      <c r="A7" s="13"/>
      <c r="B7" s="13"/>
      <c r="C7" s="18"/>
      <c r="D7" s="20"/>
      <c r="E7" s="18"/>
      <c r="F7" s="19"/>
      <c r="G7" s="19"/>
      <c r="H7" s="23" t="str">
        <f aca="false">IF(C7="","",C7*D7/12)</f>
        <v/>
      </c>
    </row>
    <row r="8" customFormat="false" ht="15" hidden="false" customHeight="false" outlineLevel="0" collapsed="false">
      <c r="A8" s="13"/>
      <c r="B8" s="13"/>
      <c r="C8" s="18"/>
      <c r="D8" s="20"/>
      <c r="E8" s="18"/>
      <c r="F8" s="19"/>
      <c r="G8" s="19"/>
      <c r="H8" s="23" t="str">
        <f aca="false">IF(C8="","",C8*D8/12)</f>
        <v/>
      </c>
    </row>
    <row r="9" customFormat="false" ht="15" hidden="false" customHeight="false" outlineLevel="0" collapsed="false">
      <c r="A9" s="13"/>
      <c r="B9" s="13"/>
      <c r="C9" s="18"/>
      <c r="D9" s="20"/>
      <c r="E9" s="18"/>
      <c r="F9" s="19"/>
      <c r="G9" s="19"/>
      <c r="H9" s="23" t="str">
        <f aca="false">IF(C9="","",C9*D9/12)</f>
        <v/>
      </c>
    </row>
    <row r="10" customFormat="false" ht="15" hidden="false" customHeight="false" outlineLevel="0" collapsed="false">
      <c r="A10" s="13"/>
      <c r="B10" s="13"/>
      <c r="C10" s="18"/>
      <c r="D10" s="20"/>
      <c r="E10" s="18"/>
      <c r="F10" s="19"/>
      <c r="G10" s="19"/>
      <c r="H10" s="23" t="str">
        <f aca="false">IF(C10="","",C10*D10/12)</f>
        <v/>
      </c>
    </row>
    <row r="11" customFormat="false" ht="15" hidden="false" customHeight="false" outlineLevel="0" collapsed="false">
      <c r="A11" s="13"/>
      <c r="B11" s="13"/>
      <c r="C11" s="18"/>
      <c r="D11" s="20"/>
      <c r="E11" s="18"/>
      <c r="F11" s="19"/>
      <c r="G11" s="19"/>
      <c r="H11" s="23" t="str">
        <f aca="false">IF(C11="","",C11*D11/12)</f>
        <v/>
      </c>
    </row>
    <row r="12" customFormat="false" ht="15" hidden="false" customHeight="false" outlineLevel="0" collapsed="false">
      <c r="A12" s="13"/>
      <c r="B12" s="13"/>
      <c r="C12" s="18"/>
      <c r="D12" s="20"/>
      <c r="E12" s="18"/>
      <c r="F12" s="19"/>
      <c r="G12" s="19"/>
      <c r="H12" s="23" t="str">
        <f aca="false">IF(C12="","",C12*D12/12)</f>
        <v/>
      </c>
    </row>
    <row r="13" customFormat="false" ht="15" hidden="false" customHeight="false" outlineLevel="0" collapsed="false">
      <c r="A13" s="13"/>
      <c r="B13" s="13"/>
      <c r="C13" s="18"/>
      <c r="D13" s="20"/>
      <c r="E13" s="18"/>
      <c r="F13" s="19"/>
      <c r="G13" s="19"/>
      <c r="H13" s="23" t="str">
        <f aca="false">IF(C13="","",C13*D13/12)</f>
        <v/>
      </c>
    </row>
    <row r="14" customFormat="false" ht="15" hidden="false" customHeight="false" outlineLevel="0" collapsed="false">
      <c r="A14" s="24" t="s">
        <v>120</v>
      </c>
      <c r="B14" s="25"/>
      <c r="C14" s="26" t="n">
        <f aca="false">SUM(C4:C13)</f>
        <v>19500</v>
      </c>
      <c r="D14" s="25"/>
      <c r="E14" s="26" t="n">
        <f aca="false">SUM(E4:E13)</f>
        <v>1000</v>
      </c>
      <c r="F14" s="25"/>
      <c r="G14" s="25"/>
      <c r="H14" s="26" t="n">
        <f aca="false">SUM(H4:H13)</f>
        <v>254.166666666667</v>
      </c>
    </row>
    <row r="16" customFormat="false" ht="15" hidden="false" customHeight="false" outlineLevel="0" collapsed="false">
      <c r="A16" s="12" t="s">
        <v>121</v>
      </c>
    </row>
    <row r="17" customFormat="false" ht="15" hidden="false" customHeight="false" outlineLevel="0" collapsed="false">
      <c r="A17" s="1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5" min="2" style="0" width="11"/>
  </cols>
  <sheetData>
    <row r="1" customFormat="false" ht="17.35" hidden="false" customHeight="false" outlineLevel="0" collapsed="false">
      <c r="A1" s="4" t="s">
        <v>123</v>
      </c>
    </row>
    <row r="3" customFormat="false" ht="15" hidden="false" customHeight="false" outlineLevel="0" collapsed="false">
      <c r="A3" s="27" t="s">
        <v>124</v>
      </c>
      <c r="B3" s="28" t="n">
        <v>1</v>
      </c>
      <c r="C3" s="28" t="n">
        <v>2</v>
      </c>
      <c r="D3" s="28" t="n">
        <v>3</v>
      </c>
      <c r="E3" s="28" t="n">
        <v>4</v>
      </c>
      <c r="F3" s="28" t="n">
        <v>5</v>
      </c>
      <c r="G3" s="28" t="n">
        <v>6</v>
      </c>
      <c r="H3" s="28" t="n">
        <v>7</v>
      </c>
      <c r="I3" s="28" t="n">
        <v>8</v>
      </c>
      <c r="J3" s="28" t="n">
        <v>9</v>
      </c>
      <c r="K3" s="28" t="n">
        <v>10</v>
      </c>
      <c r="L3" s="28" t="n">
        <v>11</v>
      </c>
      <c r="M3" s="28" t="n">
        <v>12</v>
      </c>
      <c r="N3" s="28" t="n">
        <v>13</v>
      </c>
      <c r="O3" s="28" t="n">
        <v>14</v>
      </c>
      <c r="P3" s="28" t="n">
        <v>15</v>
      </c>
      <c r="Q3" s="28" t="n">
        <v>16</v>
      </c>
      <c r="R3" s="28" t="n">
        <v>17</v>
      </c>
      <c r="S3" s="28" t="n">
        <v>18</v>
      </c>
      <c r="T3" s="28" t="n">
        <v>19</v>
      </c>
      <c r="U3" s="28" t="n">
        <v>20</v>
      </c>
      <c r="V3" s="28" t="n">
        <v>21</v>
      </c>
      <c r="W3" s="28" t="n">
        <v>22</v>
      </c>
      <c r="X3" s="28" t="n">
        <v>23</v>
      </c>
      <c r="Y3" s="28" t="n">
        <v>24</v>
      </c>
    </row>
    <row r="5" customFormat="false" ht="15" hidden="false" customHeight="false" outlineLevel="0" collapsed="false">
      <c r="A5" s="5" t="s">
        <v>36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customFormat="false" ht="15" hidden="false" customHeight="false" outlineLevel="0" collapsed="false">
      <c r="A6" s="7" t="s">
        <v>125</v>
      </c>
      <c r="B6" s="29" t="n">
        <f aca="false">MIN(Supuestos!$B$22,Supuestos!$B$18*(1-Supuestos!$B$21)+Supuestos!$B$19*Supuestos!$B$8)</f>
        <v>1.5</v>
      </c>
      <c r="C6" s="29" t="n">
        <f aca="false">MIN(Supuestos!$B$22,B6*(1-Supuestos!$B$21)+Supuestos!$B$19*Supuestos!$B$8)</f>
        <v>2.925</v>
      </c>
      <c r="D6" s="29" t="n">
        <f aca="false">MIN(Supuestos!$B$22,C6*(1-Supuestos!$B$21)+Supuestos!$B$19*Supuestos!$B$8)</f>
        <v>4.27875</v>
      </c>
      <c r="E6" s="29" t="n">
        <f aca="false">MIN(Supuestos!$B$22,D6*(1-Supuestos!$B$21)+Supuestos!$B$19*Supuestos!$B$8)</f>
        <v>5.5648125</v>
      </c>
      <c r="F6" s="29" t="n">
        <f aca="false">MIN(Supuestos!$B$22,E6*(1-Supuestos!$B$21)+Supuestos!$B$19*Supuestos!$B$8)</f>
        <v>6.786571875</v>
      </c>
      <c r="G6" s="29" t="n">
        <f aca="false">MIN(Supuestos!$B$22,F6*(1-Supuestos!$B$21)+Supuestos!$B$19*Supuestos!$B$8)</f>
        <v>7.94724328125</v>
      </c>
      <c r="H6" s="29" t="n">
        <f aca="false">MIN(Supuestos!$B$22,G6*(1-Supuestos!$B$21)+Supuestos!$B$19*Supuestos!$B$8)</f>
        <v>9.0498811171875</v>
      </c>
      <c r="I6" s="29" t="n">
        <f aca="false">MIN(Supuestos!$B$22,H6*(1-Supuestos!$B$21)+Supuestos!$B$19*Supuestos!$B$8)</f>
        <v>10.0973870613281</v>
      </c>
      <c r="J6" s="29" t="n">
        <f aca="false">MIN(Supuestos!$B$22,I6*(1-Supuestos!$B$21)+Supuestos!$B$19*Supuestos!$B$8)</f>
        <v>11.0925177082617</v>
      </c>
      <c r="K6" s="29" t="n">
        <f aca="false">MIN(Supuestos!$B$22,J6*(1-Supuestos!$B$21)+Supuestos!$B$19*Supuestos!$B$8)</f>
        <v>12</v>
      </c>
      <c r="L6" s="29" t="n">
        <f aca="false">MIN(Supuestos!$B$22,K6*(1-Supuestos!$B$21)+Supuestos!$B$19*Supuestos!$B$8)</f>
        <v>12</v>
      </c>
      <c r="M6" s="29" t="n">
        <f aca="false">MIN(Supuestos!$B$22,L6*(1-Supuestos!$B$21)+Supuestos!$B$19*Supuestos!$B$8)</f>
        <v>12</v>
      </c>
      <c r="N6" s="29" t="n">
        <f aca="false">MIN(Supuestos!$B$22,M6*(1-Supuestos!$B$21)+Supuestos!$B$19*Supuestos!$B$8)</f>
        <v>12</v>
      </c>
      <c r="O6" s="29" t="n">
        <f aca="false">MIN(Supuestos!$B$22,N6*(1-Supuestos!$B$21)+Supuestos!$B$19*Supuestos!$B$8)</f>
        <v>12</v>
      </c>
      <c r="P6" s="29" t="n">
        <f aca="false">MIN(Supuestos!$B$22,O6*(1-Supuestos!$B$21)+Supuestos!$B$19*Supuestos!$B$8)</f>
        <v>12</v>
      </c>
      <c r="Q6" s="29" t="n">
        <f aca="false">MIN(Supuestos!$B$22,P6*(1-Supuestos!$B$21)+Supuestos!$B$19*Supuestos!$B$8)</f>
        <v>12</v>
      </c>
      <c r="R6" s="29" t="n">
        <f aca="false">MIN(Supuestos!$B$22,Q6*(1-Supuestos!$B$21)+Supuestos!$B$19*Supuestos!$B$8)</f>
        <v>12</v>
      </c>
      <c r="S6" s="29" t="n">
        <f aca="false">MIN(Supuestos!$B$22,R6*(1-Supuestos!$B$21)+Supuestos!$B$19*Supuestos!$B$8)</f>
        <v>12</v>
      </c>
      <c r="T6" s="29" t="n">
        <f aca="false">MIN(Supuestos!$B$22,S6*(1-Supuestos!$B$21)+Supuestos!$B$19*Supuestos!$B$8)</f>
        <v>12</v>
      </c>
      <c r="U6" s="29" t="n">
        <f aca="false">MIN(Supuestos!$B$22,T6*(1-Supuestos!$B$21)+Supuestos!$B$19*Supuestos!$B$8)</f>
        <v>12</v>
      </c>
      <c r="V6" s="29" t="n">
        <f aca="false">MIN(Supuestos!$B$22,U6*(1-Supuestos!$B$21)+Supuestos!$B$19*Supuestos!$B$8)</f>
        <v>12</v>
      </c>
      <c r="W6" s="29" t="n">
        <f aca="false">MIN(Supuestos!$B$22,V6*(1-Supuestos!$B$21)+Supuestos!$B$19*Supuestos!$B$8)</f>
        <v>12</v>
      </c>
      <c r="X6" s="29" t="n">
        <f aca="false">MIN(Supuestos!$B$22,W6*(1-Supuestos!$B$21)+Supuestos!$B$19*Supuestos!$B$8)</f>
        <v>12</v>
      </c>
      <c r="Y6" s="29" t="n">
        <f aca="false">MIN(Supuestos!$B$22,X6*(1-Supuestos!$B$21)+Supuestos!$B$19*Supuestos!$B$8)</f>
        <v>12</v>
      </c>
    </row>
    <row r="7" customFormat="false" ht="15" hidden="false" customHeight="false" outlineLevel="0" collapsed="false">
      <c r="A7" s="7" t="s">
        <v>126</v>
      </c>
      <c r="B7" s="30" t="n">
        <f aca="false">B6*Supuestos!$B$20</f>
        <v>525</v>
      </c>
      <c r="C7" s="30" t="n">
        <f aca="false">C6*Supuestos!$B$20</f>
        <v>1023.75</v>
      </c>
      <c r="D7" s="30" t="n">
        <f aca="false">D6*Supuestos!$B$20</f>
        <v>1497.5625</v>
      </c>
      <c r="E7" s="30" t="n">
        <f aca="false">E6*Supuestos!$B$20</f>
        <v>1947.684375</v>
      </c>
      <c r="F7" s="30" t="n">
        <f aca="false">F6*Supuestos!$B$20</f>
        <v>2375.30015625</v>
      </c>
      <c r="G7" s="30" t="n">
        <f aca="false">G6*Supuestos!$B$20</f>
        <v>2781.5351484375</v>
      </c>
      <c r="H7" s="30" t="n">
        <f aca="false">H6*Supuestos!$B$20</f>
        <v>3167.45839101562</v>
      </c>
      <c r="I7" s="30" t="n">
        <f aca="false">I6*Supuestos!$B$20</f>
        <v>3534.08547146484</v>
      </c>
      <c r="J7" s="30" t="n">
        <f aca="false">J6*Supuestos!$B$20</f>
        <v>3882.3811978916</v>
      </c>
      <c r="K7" s="30" t="n">
        <f aca="false">K6*Supuestos!$B$20</f>
        <v>4200</v>
      </c>
      <c r="L7" s="30" t="n">
        <f aca="false">L6*Supuestos!$B$20</f>
        <v>4200</v>
      </c>
      <c r="M7" s="30" t="n">
        <f aca="false">M6*Supuestos!$B$20</f>
        <v>4200</v>
      </c>
      <c r="N7" s="30" t="n">
        <f aca="false">N6*Supuestos!$B$20</f>
        <v>4200</v>
      </c>
      <c r="O7" s="30" t="n">
        <f aca="false">O6*Supuestos!$B$20</f>
        <v>4200</v>
      </c>
      <c r="P7" s="30" t="n">
        <f aca="false">P6*Supuestos!$B$20</f>
        <v>4200</v>
      </c>
      <c r="Q7" s="30" t="n">
        <f aca="false">Q6*Supuestos!$B$20</f>
        <v>4200</v>
      </c>
      <c r="R7" s="30" t="n">
        <f aca="false">R6*Supuestos!$B$20</f>
        <v>4200</v>
      </c>
      <c r="S7" s="30" t="n">
        <f aca="false">S6*Supuestos!$B$20</f>
        <v>4200</v>
      </c>
      <c r="T7" s="30" t="n">
        <f aca="false">T6*Supuestos!$B$20</f>
        <v>4200</v>
      </c>
      <c r="U7" s="30" t="n">
        <f aca="false">U6*Supuestos!$B$20</f>
        <v>4200</v>
      </c>
      <c r="V7" s="30" t="n">
        <f aca="false">V6*Supuestos!$B$20</f>
        <v>4200</v>
      </c>
      <c r="W7" s="30" t="n">
        <f aca="false">W6*Supuestos!$B$20</f>
        <v>4200</v>
      </c>
      <c r="X7" s="30" t="n">
        <f aca="false">X6*Supuestos!$B$20</f>
        <v>4200</v>
      </c>
      <c r="Y7" s="30" t="n">
        <f aca="false">Y6*Supuestos!$B$20</f>
        <v>4200</v>
      </c>
    </row>
    <row r="8" customFormat="false" ht="15" hidden="false" customHeight="false" outlineLevel="0" collapsed="false">
      <c r="A8" s="7" t="s">
        <v>127</v>
      </c>
      <c r="B8" s="29" t="n">
        <f aca="false">Supuestos!$B$23+Supuestos!$B$24*Supuestos!$B$8</f>
        <v>2</v>
      </c>
      <c r="C8" s="29" t="n">
        <f aca="false">B8+Supuestos!$B$24*Supuestos!$B$8</f>
        <v>4</v>
      </c>
      <c r="D8" s="29" t="n">
        <f aca="false">C8+Supuestos!$B$24*Supuestos!$B$8</f>
        <v>6</v>
      </c>
      <c r="E8" s="29" t="n">
        <f aca="false">D8+Supuestos!$B$24*Supuestos!$B$8</f>
        <v>8</v>
      </c>
      <c r="F8" s="29" t="n">
        <f aca="false">E8+Supuestos!$B$24*Supuestos!$B$8</f>
        <v>10</v>
      </c>
      <c r="G8" s="29" t="n">
        <f aca="false">F8+Supuestos!$B$24*Supuestos!$B$8</f>
        <v>12</v>
      </c>
      <c r="H8" s="29" t="n">
        <f aca="false">G8+Supuestos!$B$24*Supuestos!$B$8</f>
        <v>14</v>
      </c>
      <c r="I8" s="29" t="n">
        <f aca="false">H8+Supuestos!$B$24*Supuestos!$B$8</f>
        <v>16</v>
      </c>
      <c r="J8" s="29" t="n">
        <f aca="false">I8+Supuestos!$B$24*Supuestos!$B$8</f>
        <v>18</v>
      </c>
      <c r="K8" s="29" t="n">
        <f aca="false">J8+Supuestos!$B$24*Supuestos!$B$8</f>
        <v>20</v>
      </c>
      <c r="L8" s="29" t="n">
        <f aca="false">K8+Supuestos!$B$24*Supuestos!$B$8</f>
        <v>22</v>
      </c>
      <c r="M8" s="29" t="n">
        <f aca="false">L8+Supuestos!$B$24*Supuestos!$B$8</f>
        <v>24</v>
      </c>
      <c r="N8" s="29" t="n">
        <f aca="false">M8+Supuestos!$B$24*Supuestos!$B$8</f>
        <v>26</v>
      </c>
      <c r="O8" s="29" t="n">
        <f aca="false">N8+Supuestos!$B$24*Supuestos!$B$8</f>
        <v>28</v>
      </c>
      <c r="P8" s="29" t="n">
        <f aca="false">O8+Supuestos!$B$24*Supuestos!$B$8</f>
        <v>30</v>
      </c>
      <c r="Q8" s="29" t="n">
        <f aca="false">P8+Supuestos!$B$24*Supuestos!$B$8</f>
        <v>32</v>
      </c>
      <c r="R8" s="29" t="n">
        <f aca="false">Q8+Supuestos!$B$24*Supuestos!$B$8</f>
        <v>34</v>
      </c>
      <c r="S8" s="29" t="n">
        <f aca="false">R8+Supuestos!$B$24*Supuestos!$B$8</f>
        <v>36</v>
      </c>
      <c r="T8" s="29" t="n">
        <f aca="false">S8+Supuestos!$B$24*Supuestos!$B$8</f>
        <v>38</v>
      </c>
      <c r="U8" s="29" t="n">
        <f aca="false">T8+Supuestos!$B$24*Supuestos!$B$8</f>
        <v>40</v>
      </c>
      <c r="V8" s="29" t="n">
        <f aca="false">U8+Supuestos!$B$24*Supuestos!$B$8</f>
        <v>42</v>
      </c>
      <c r="W8" s="29" t="n">
        <f aca="false">V8+Supuestos!$B$24*Supuestos!$B$8</f>
        <v>44</v>
      </c>
      <c r="X8" s="29" t="n">
        <f aca="false">W8+Supuestos!$B$24*Supuestos!$B$8</f>
        <v>46</v>
      </c>
      <c r="Y8" s="29" t="n">
        <f aca="false">X8+Supuestos!$B$24*Supuestos!$B$8</f>
        <v>48</v>
      </c>
    </row>
    <row r="9" customFormat="false" ht="15" hidden="false" customHeight="false" outlineLevel="0" collapsed="false">
      <c r="A9" s="7" t="s">
        <v>128</v>
      </c>
      <c r="B9" s="30" t="n">
        <f aca="false">B8*Supuestos!$B$25/12</f>
        <v>33.3333333333333</v>
      </c>
      <c r="C9" s="30" t="n">
        <f aca="false">C8*Supuestos!$B$25/12</f>
        <v>66.6666666666667</v>
      </c>
      <c r="D9" s="30" t="n">
        <f aca="false">D8*Supuestos!$B$25/12</f>
        <v>100</v>
      </c>
      <c r="E9" s="30" t="n">
        <f aca="false">E8*Supuestos!$B$25/12</f>
        <v>133.333333333333</v>
      </c>
      <c r="F9" s="30" t="n">
        <f aca="false">F8*Supuestos!$B$25/12</f>
        <v>166.666666666667</v>
      </c>
      <c r="G9" s="30" t="n">
        <f aca="false">G8*Supuestos!$B$25/12</f>
        <v>200</v>
      </c>
      <c r="H9" s="30" t="n">
        <f aca="false">H8*Supuestos!$B$25/12</f>
        <v>233.333333333333</v>
      </c>
      <c r="I9" s="30" t="n">
        <f aca="false">I8*Supuestos!$B$25/12</f>
        <v>266.666666666667</v>
      </c>
      <c r="J9" s="30" t="n">
        <f aca="false">J8*Supuestos!$B$25/12</f>
        <v>300</v>
      </c>
      <c r="K9" s="30" t="n">
        <f aca="false">K8*Supuestos!$B$25/12</f>
        <v>333.333333333333</v>
      </c>
      <c r="L9" s="30" t="n">
        <f aca="false">L8*Supuestos!$B$25/12</f>
        <v>366.666666666667</v>
      </c>
      <c r="M9" s="30" t="n">
        <f aca="false">M8*Supuestos!$B$25/12</f>
        <v>400</v>
      </c>
      <c r="N9" s="30" t="n">
        <f aca="false">N8*Supuestos!$B$25/12</f>
        <v>433.333333333333</v>
      </c>
      <c r="O9" s="30" t="n">
        <f aca="false">O8*Supuestos!$B$25/12</f>
        <v>466.666666666667</v>
      </c>
      <c r="P9" s="30" t="n">
        <f aca="false">P8*Supuestos!$B$25/12</f>
        <v>500</v>
      </c>
      <c r="Q9" s="30" t="n">
        <f aca="false">Q8*Supuestos!$B$25/12</f>
        <v>533.333333333333</v>
      </c>
      <c r="R9" s="30" t="n">
        <f aca="false">R8*Supuestos!$B$25/12</f>
        <v>566.666666666667</v>
      </c>
      <c r="S9" s="30" t="n">
        <f aca="false">S8*Supuestos!$B$25/12</f>
        <v>600</v>
      </c>
      <c r="T9" s="30" t="n">
        <f aca="false">T8*Supuestos!$B$25/12</f>
        <v>633.333333333333</v>
      </c>
      <c r="U9" s="30" t="n">
        <f aca="false">U8*Supuestos!$B$25/12</f>
        <v>666.666666666667</v>
      </c>
      <c r="V9" s="30" t="n">
        <f aca="false">V8*Supuestos!$B$25/12</f>
        <v>700</v>
      </c>
      <c r="W9" s="30" t="n">
        <f aca="false">W8*Supuestos!$B$25/12</f>
        <v>733.333333333333</v>
      </c>
      <c r="X9" s="30" t="n">
        <f aca="false">X8*Supuestos!$B$25/12</f>
        <v>766.666666666667</v>
      </c>
      <c r="Y9" s="30" t="n">
        <f aca="false">Y8*Supuestos!$B$25/12</f>
        <v>800</v>
      </c>
    </row>
    <row r="10" customFormat="false" ht="15" hidden="false" customHeight="false" outlineLevel="0" collapsed="false">
      <c r="A10" s="7" t="s">
        <v>129</v>
      </c>
      <c r="B10" s="30" t="n">
        <f aca="false">Supuestos!$B$26*Supuestos!$B$8</f>
        <v>800</v>
      </c>
      <c r="C10" s="30" t="n">
        <f aca="false">Supuestos!$B$26*Supuestos!$B$8</f>
        <v>800</v>
      </c>
      <c r="D10" s="30" t="n">
        <f aca="false">Supuestos!$B$26*Supuestos!$B$8</f>
        <v>800</v>
      </c>
      <c r="E10" s="30" t="n">
        <f aca="false">Supuestos!$B$26*Supuestos!$B$8</f>
        <v>800</v>
      </c>
      <c r="F10" s="30" t="n">
        <f aca="false">Supuestos!$B$26*Supuestos!$B$8</f>
        <v>800</v>
      </c>
      <c r="G10" s="30" t="n">
        <f aca="false">Supuestos!$B$26*Supuestos!$B$8</f>
        <v>800</v>
      </c>
      <c r="H10" s="30" t="n">
        <f aca="false">Supuestos!$B$26*Supuestos!$B$8</f>
        <v>800</v>
      </c>
      <c r="I10" s="30" t="n">
        <f aca="false">Supuestos!$B$26*Supuestos!$B$8</f>
        <v>800</v>
      </c>
      <c r="J10" s="30" t="n">
        <f aca="false">Supuestos!$B$26*Supuestos!$B$8</f>
        <v>800</v>
      </c>
      <c r="K10" s="30" t="n">
        <f aca="false">Supuestos!$B$26*Supuestos!$B$8</f>
        <v>800</v>
      </c>
      <c r="L10" s="30" t="n">
        <f aca="false">Supuestos!$B$26*Supuestos!$B$8</f>
        <v>800</v>
      </c>
      <c r="M10" s="30" t="n">
        <f aca="false">Supuestos!$B$26*Supuestos!$B$8</f>
        <v>800</v>
      </c>
      <c r="N10" s="30" t="n">
        <f aca="false">Supuestos!$B$26*Supuestos!$B$8</f>
        <v>800</v>
      </c>
      <c r="O10" s="30" t="n">
        <f aca="false">Supuestos!$B$26*Supuestos!$B$8</f>
        <v>800</v>
      </c>
      <c r="P10" s="30" t="n">
        <f aca="false">Supuestos!$B$26*Supuestos!$B$8</f>
        <v>800</v>
      </c>
      <c r="Q10" s="30" t="n">
        <f aca="false">Supuestos!$B$26*Supuestos!$B$8</f>
        <v>800</v>
      </c>
      <c r="R10" s="30" t="n">
        <f aca="false">Supuestos!$B$26*Supuestos!$B$8</f>
        <v>800</v>
      </c>
      <c r="S10" s="30" t="n">
        <f aca="false">Supuestos!$B$26*Supuestos!$B$8</f>
        <v>800</v>
      </c>
      <c r="T10" s="30" t="n">
        <f aca="false">Supuestos!$B$26*Supuestos!$B$8</f>
        <v>800</v>
      </c>
      <c r="U10" s="30" t="n">
        <f aca="false">Supuestos!$B$26*Supuestos!$B$8</f>
        <v>800</v>
      </c>
      <c r="V10" s="30" t="n">
        <f aca="false">Supuestos!$B$26*Supuestos!$B$8</f>
        <v>800</v>
      </c>
      <c r="W10" s="30" t="n">
        <f aca="false">Supuestos!$B$26*Supuestos!$B$8</f>
        <v>800</v>
      </c>
      <c r="X10" s="30" t="n">
        <f aca="false">Supuestos!$B$26*Supuestos!$B$8</f>
        <v>800</v>
      </c>
      <c r="Y10" s="30" t="n">
        <f aca="false">Supuestos!$B$26*Supuestos!$B$8</f>
        <v>800</v>
      </c>
    </row>
    <row r="11" customFormat="false" ht="15" hidden="false" customHeight="false" outlineLevel="0" collapsed="false">
      <c r="A11" s="31" t="s">
        <v>130</v>
      </c>
      <c r="B11" s="26" t="n">
        <f aca="false">B7+B9+B10</f>
        <v>1358.33333333333</v>
      </c>
      <c r="C11" s="26" t="n">
        <f aca="false">C7+C9+C10</f>
        <v>1890.41666666667</v>
      </c>
      <c r="D11" s="26" t="n">
        <f aca="false">D7+D9+D10</f>
        <v>2397.5625</v>
      </c>
      <c r="E11" s="26" t="n">
        <f aca="false">E7+E9+E10</f>
        <v>2881.01770833333</v>
      </c>
      <c r="F11" s="26" t="n">
        <f aca="false">F7+F9+F10</f>
        <v>3341.96682291667</v>
      </c>
      <c r="G11" s="26" t="n">
        <f aca="false">G7+G9+G10</f>
        <v>3781.5351484375</v>
      </c>
      <c r="H11" s="26" t="n">
        <f aca="false">H7+H9+H10</f>
        <v>4200.79172434896</v>
      </c>
      <c r="I11" s="26" t="n">
        <f aca="false">I7+I9+I10</f>
        <v>4600.75213813151</v>
      </c>
      <c r="J11" s="26" t="n">
        <f aca="false">J7+J9+J10</f>
        <v>4982.3811978916</v>
      </c>
      <c r="K11" s="26" t="n">
        <f aca="false">K7+K9+K10</f>
        <v>5333.33333333333</v>
      </c>
      <c r="L11" s="26" t="n">
        <f aca="false">L7+L9+L10</f>
        <v>5366.66666666667</v>
      </c>
      <c r="M11" s="26" t="n">
        <f aca="false">M7+M9+M10</f>
        <v>5400</v>
      </c>
      <c r="N11" s="26" t="n">
        <f aca="false">N7+N9+N10</f>
        <v>5433.33333333333</v>
      </c>
      <c r="O11" s="26" t="n">
        <f aca="false">O7+O9+O10</f>
        <v>5466.66666666667</v>
      </c>
      <c r="P11" s="26" t="n">
        <f aca="false">P7+P9+P10</f>
        <v>5500</v>
      </c>
      <c r="Q11" s="26" t="n">
        <f aca="false">Q7+Q9+Q10</f>
        <v>5533.33333333333</v>
      </c>
      <c r="R11" s="26" t="n">
        <f aca="false">R7+R9+R10</f>
        <v>5566.66666666667</v>
      </c>
      <c r="S11" s="26" t="n">
        <f aca="false">S7+S9+S10</f>
        <v>5600</v>
      </c>
      <c r="T11" s="26" t="n">
        <f aca="false">T7+T9+T10</f>
        <v>5633.33333333333</v>
      </c>
      <c r="U11" s="26" t="n">
        <f aca="false">U7+U9+U10</f>
        <v>5666.66666666667</v>
      </c>
      <c r="V11" s="26" t="n">
        <f aca="false">V7+V9+V10</f>
        <v>5700</v>
      </c>
      <c r="W11" s="26" t="n">
        <f aca="false">W7+W9+W10</f>
        <v>5733.33333333333</v>
      </c>
      <c r="X11" s="26" t="n">
        <f aca="false">X7+X9+X10</f>
        <v>5766.66666666667</v>
      </c>
      <c r="Y11" s="26" t="n">
        <f aca="false">Y7+Y9+Y10</f>
        <v>5800</v>
      </c>
    </row>
    <row r="12" customFormat="false" ht="15" hidden="false" customHeight="false" outlineLevel="0" collapsed="false">
      <c r="A12" s="7" t="s">
        <v>131</v>
      </c>
      <c r="B12" s="30" t="n">
        <f aca="false">Supuestos!$B$27</f>
        <v>400</v>
      </c>
      <c r="C12" s="30" t="n">
        <f aca="false">Supuestos!$B$27</f>
        <v>400</v>
      </c>
      <c r="D12" s="30" t="n">
        <f aca="false">Supuestos!$B$27</f>
        <v>400</v>
      </c>
      <c r="E12" s="30" t="n">
        <f aca="false">Supuestos!$B$27</f>
        <v>400</v>
      </c>
      <c r="F12" s="30" t="n">
        <f aca="false">Supuestos!$B$27</f>
        <v>400</v>
      </c>
      <c r="G12" s="30" t="n">
        <f aca="false">Supuestos!$B$27</f>
        <v>400</v>
      </c>
      <c r="H12" s="30" t="n">
        <f aca="false">Supuestos!$B$27</f>
        <v>400</v>
      </c>
      <c r="I12" s="30" t="n">
        <f aca="false">Supuestos!$B$27</f>
        <v>400</v>
      </c>
      <c r="J12" s="30" t="n">
        <f aca="false">Supuestos!$B$27</f>
        <v>400</v>
      </c>
      <c r="K12" s="30" t="n">
        <f aca="false">Supuestos!$B$27</f>
        <v>400</v>
      </c>
      <c r="L12" s="30" t="n">
        <f aca="false">Supuestos!$B$27</f>
        <v>400</v>
      </c>
      <c r="M12" s="30" t="n">
        <f aca="false">Supuestos!$B$27</f>
        <v>400</v>
      </c>
      <c r="N12" s="30" t="n">
        <f aca="false">Supuestos!$B$27</f>
        <v>400</v>
      </c>
      <c r="O12" s="30" t="n">
        <f aca="false">Supuestos!$B$27</f>
        <v>400</v>
      </c>
      <c r="P12" s="30" t="n">
        <f aca="false">Supuestos!$B$27</f>
        <v>400</v>
      </c>
      <c r="Q12" s="30" t="n">
        <f aca="false">Supuestos!$B$27</f>
        <v>400</v>
      </c>
      <c r="R12" s="30" t="n">
        <f aca="false">Supuestos!$B$27</f>
        <v>400</v>
      </c>
      <c r="S12" s="30" t="n">
        <f aca="false">Supuestos!$B$27</f>
        <v>400</v>
      </c>
      <c r="T12" s="30" t="n">
        <f aca="false">Supuestos!$B$27</f>
        <v>400</v>
      </c>
      <c r="U12" s="30" t="n">
        <f aca="false">Supuestos!$B$27</f>
        <v>400</v>
      </c>
      <c r="V12" s="30" t="n">
        <f aca="false">Supuestos!$B$27</f>
        <v>400</v>
      </c>
      <c r="W12" s="30" t="n">
        <f aca="false">Supuestos!$B$27</f>
        <v>400</v>
      </c>
      <c r="X12" s="30" t="n">
        <f aca="false">Supuestos!$B$27</f>
        <v>400</v>
      </c>
      <c r="Y12" s="30" t="n">
        <f aca="false">Supuestos!$B$27</f>
        <v>400</v>
      </c>
    </row>
    <row r="13" customFormat="false" ht="15" hidden="false" customHeight="false" outlineLevel="0" collapsed="false">
      <c r="A13" s="31" t="s">
        <v>132</v>
      </c>
      <c r="B13" s="26" t="n">
        <f aca="false">B11-B12</f>
        <v>958.333333333334</v>
      </c>
      <c r="C13" s="26" t="n">
        <f aca="false">C11-C12</f>
        <v>1490.41666666667</v>
      </c>
      <c r="D13" s="26" t="n">
        <f aca="false">D11-D12</f>
        <v>1997.5625</v>
      </c>
      <c r="E13" s="26" t="n">
        <f aca="false">E11-E12</f>
        <v>2481.01770833333</v>
      </c>
      <c r="F13" s="26" t="n">
        <f aca="false">F11-F12</f>
        <v>2941.96682291667</v>
      </c>
      <c r="G13" s="26" t="n">
        <f aca="false">G11-G12</f>
        <v>3381.5351484375</v>
      </c>
      <c r="H13" s="26" t="n">
        <f aca="false">H11-H12</f>
        <v>3800.79172434896</v>
      </c>
      <c r="I13" s="26" t="n">
        <f aca="false">I11-I12</f>
        <v>4200.75213813151</v>
      </c>
      <c r="J13" s="26" t="n">
        <f aca="false">J11-J12</f>
        <v>4582.3811978916</v>
      </c>
      <c r="K13" s="26" t="n">
        <f aca="false">K11-K12</f>
        <v>4933.33333333333</v>
      </c>
      <c r="L13" s="26" t="n">
        <f aca="false">L11-L12</f>
        <v>4966.66666666667</v>
      </c>
      <c r="M13" s="26" t="n">
        <f aca="false">M11-M12</f>
        <v>5000</v>
      </c>
      <c r="N13" s="26" t="n">
        <f aca="false">N11-N12</f>
        <v>5033.33333333333</v>
      </c>
      <c r="O13" s="26" t="n">
        <f aca="false">O11-O12</f>
        <v>5066.66666666667</v>
      </c>
      <c r="P13" s="26" t="n">
        <f aca="false">P11-P12</f>
        <v>5100</v>
      </c>
      <c r="Q13" s="26" t="n">
        <f aca="false">Q11-Q12</f>
        <v>5133.33333333333</v>
      </c>
      <c r="R13" s="26" t="n">
        <f aca="false">R11-R12</f>
        <v>5166.66666666667</v>
      </c>
      <c r="S13" s="26" t="n">
        <f aca="false">S11-S12</f>
        <v>5200</v>
      </c>
      <c r="T13" s="26" t="n">
        <f aca="false">T11-T12</f>
        <v>5233.33333333333</v>
      </c>
      <c r="U13" s="26" t="n">
        <f aca="false">U11-U12</f>
        <v>5266.66666666667</v>
      </c>
      <c r="V13" s="26" t="n">
        <f aca="false">V11-V12</f>
        <v>5300</v>
      </c>
      <c r="W13" s="26" t="n">
        <f aca="false">W11-W12</f>
        <v>5333.33333333333</v>
      </c>
      <c r="X13" s="26" t="n">
        <f aca="false">X11-X12</f>
        <v>5366.66666666667</v>
      </c>
      <c r="Y13" s="26" t="n">
        <f aca="false">Y11-Y12</f>
        <v>5400</v>
      </c>
    </row>
    <row r="15" customFormat="false" ht="15" hidden="false" customHeight="false" outlineLevel="0" collapsed="false">
      <c r="A15" s="5" t="s">
        <v>133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customFormat="false" ht="15" hidden="false" customHeight="false" outlineLevel="0" collapsed="false">
      <c r="A16" s="7" t="s">
        <v>134</v>
      </c>
      <c r="B16" s="29" t="n">
        <f aca="false">MIN(Supuestos!$B$32,Supuestos!$B$30+Supuestos!$B$31*(B$3-1))*Supuestos!$B$8</f>
        <v>1</v>
      </c>
      <c r="C16" s="29" t="n">
        <f aca="false">MIN(Supuestos!$B$32,Supuestos!$B$30+Supuestos!$B$31*(C$3-1))*Supuestos!$B$8</f>
        <v>1.5</v>
      </c>
      <c r="D16" s="29" t="n">
        <f aca="false">MIN(Supuestos!$B$32,Supuestos!$B$30+Supuestos!$B$31*(D$3-1))*Supuestos!$B$8</f>
        <v>2</v>
      </c>
      <c r="E16" s="29" t="n">
        <f aca="false">MIN(Supuestos!$B$32,Supuestos!$B$30+Supuestos!$B$31*(E$3-1))*Supuestos!$B$8</f>
        <v>2.5</v>
      </c>
      <c r="F16" s="29" t="n">
        <f aca="false">MIN(Supuestos!$B$32,Supuestos!$B$30+Supuestos!$B$31*(F$3-1))*Supuestos!$B$8</f>
        <v>3</v>
      </c>
      <c r="G16" s="29" t="n">
        <f aca="false">MIN(Supuestos!$B$32,Supuestos!$B$30+Supuestos!$B$31*(G$3-1))*Supuestos!$B$8</f>
        <v>3.5</v>
      </c>
      <c r="H16" s="29" t="n">
        <f aca="false">MIN(Supuestos!$B$32,Supuestos!$B$30+Supuestos!$B$31*(H$3-1))*Supuestos!$B$8</f>
        <v>4</v>
      </c>
      <c r="I16" s="29" t="n">
        <f aca="false">MIN(Supuestos!$B$32,Supuestos!$B$30+Supuestos!$B$31*(I$3-1))*Supuestos!$B$8</f>
        <v>4.5</v>
      </c>
      <c r="J16" s="29" t="n">
        <f aca="false">MIN(Supuestos!$B$32,Supuestos!$B$30+Supuestos!$B$31*(J$3-1))*Supuestos!$B$8</f>
        <v>5</v>
      </c>
      <c r="K16" s="29" t="n">
        <f aca="false">MIN(Supuestos!$B$32,Supuestos!$B$30+Supuestos!$B$31*(K$3-1))*Supuestos!$B$8</f>
        <v>5.5</v>
      </c>
      <c r="L16" s="29" t="n">
        <f aca="false">MIN(Supuestos!$B$32,Supuestos!$B$30+Supuestos!$B$31*(L$3-1))*Supuestos!$B$8</f>
        <v>6</v>
      </c>
      <c r="M16" s="29" t="n">
        <f aca="false">MIN(Supuestos!$B$32,Supuestos!$B$30+Supuestos!$B$31*(M$3-1))*Supuestos!$B$8</f>
        <v>6</v>
      </c>
      <c r="N16" s="29" t="n">
        <f aca="false">MIN(Supuestos!$B$32,Supuestos!$B$30+Supuestos!$B$31*(N$3-1))*Supuestos!$B$8</f>
        <v>6</v>
      </c>
      <c r="O16" s="29" t="n">
        <f aca="false">MIN(Supuestos!$B$32,Supuestos!$B$30+Supuestos!$B$31*(O$3-1))*Supuestos!$B$8</f>
        <v>6</v>
      </c>
      <c r="P16" s="29" t="n">
        <f aca="false">MIN(Supuestos!$B$32,Supuestos!$B$30+Supuestos!$B$31*(P$3-1))*Supuestos!$B$8</f>
        <v>6</v>
      </c>
      <c r="Q16" s="29" t="n">
        <f aca="false">MIN(Supuestos!$B$32,Supuestos!$B$30+Supuestos!$B$31*(Q$3-1))*Supuestos!$B$8</f>
        <v>6</v>
      </c>
      <c r="R16" s="29" t="n">
        <f aca="false">MIN(Supuestos!$B$32,Supuestos!$B$30+Supuestos!$B$31*(R$3-1))*Supuestos!$B$8</f>
        <v>6</v>
      </c>
      <c r="S16" s="29" t="n">
        <f aca="false">MIN(Supuestos!$B$32,Supuestos!$B$30+Supuestos!$B$31*(S$3-1))*Supuestos!$B$8</f>
        <v>6</v>
      </c>
      <c r="T16" s="29" t="n">
        <f aca="false">MIN(Supuestos!$B$32,Supuestos!$B$30+Supuestos!$B$31*(T$3-1))*Supuestos!$B$8</f>
        <v>6</v>
      </c>
      <c r="U16" s="29" t="n">
        <f aca="false">MIN(Supuestos!$B$32,Supuestos!$B$30+Supuestos!$B$31*(U$3-1))*Supuestos!$B$8</f>
        <v>6</v>
      </c>
      <c r="V16" s="29" t="n">
        <f aca="false">MIN(Supuestos!$B$32,Supuestos!$B$30+Supuestos!$B$31*(V$3-1))*Supuestos!$B$8</f>
        <v>6</v>
      </c>
      <c r="W16" s="29" t="n">
        <f aca="false">MIN(Supuestos!$B$32,Supuestos!$B$30+Supuestos!$B$31*(W$3-1))*Supuestos!$B$8</f>
        <v>6</v>
      </c>
      <c r="X16" s="29" t="n">
        <f aca="false">MIN(Supuestos!$B$32,Supuestos!$B$30+Supuestos!$B$31*(X$3-1))*Supuestos!$B$8</f>
        <v>6</v>
      </c>
      <c r="Y16" s="29" t="n">
        <f aca="false">MIN(Supuestos!$B$32,Supuestos!$B$30+Supuestos!$B$31*(Y$3-1))*Supuestos!$B$8</f>
        <v>6</v>
      </c>
    </row>
    <row r="17" customFormat="false" ht="15" hidden="false" customHeight="false" outlineLevel="0" collapsed="false">
      <c r="A17" s="7" t="s">
        <v>135</v>
      </c>
      <c r="B17" s="30" t="n">
        <f aca="false">B16*Supuestos!$B$33*Supuestos!$B$34</f>
        <v>720</v>
      </c>
      <c r="C17" s="30" t="n">
        <f aca="false">C16*Supuestos!$B$33*Supuestos!$B$34</f>
        <v>1080</v>
      </c>
      <c r="D17" s="30" t="n">
        <f aca="false">D16*Supuestos!$B$33*Supuestos!$B$34</f>
        <v>1440</v>
      </c>
      <c r="E17" s="30" t="n">
        <f aca="false">E16*Supuestos!$B$33*Supuestos!$B$34</f>
        <v>1800</v>
      </c>
      <c r="F17" s="30" t="n">
        <f aca="false">F16*Supuestos!$B$33*Supuestos!$B$34</f>
        <v>2160</v>
      </c>
      <c r="G17" s="30" t="n">
        <f aca="false">G16*Supuestos!$B$33*Supuestos!$B$34</f>
        <v>2520</v>
      </c>
      <c r="H17" s="30" t="n">
        <f aca="false">H16*Supuestos!$B$33*Supuestos!$B$34</f>
        <v>2880</v>
      </c>
      <c r="I17" s="30" t="n">
        <f aca="false">I16*Supuestos!$B$33*Supuestos!$B$34</f>
        <v>3240</v>
      </c>
      <c r="J17" s="30" t="n">
        <f aca="false">J16*Supuestos!$B$33*Supuestos!$B$34</f>
        <v>3600</v>
      </c>
      <c r="K17" s="30" t="n">
        <f aca="false">K16*Supuestos!$B$33*Supuestos!$B$34</f>
        <v>3960</v>
      </c>
      <c r="L17" s="30" t="n">
        <f aca="false">L16*Supuestos!$B$33*Supuestos!$B$34</f>
        <v>4320</v>
      </c>
      <c r="M17" s="30" t="n">
        <f aca="false">M16*Supuestos!$B$33*Supuestos!$B$34</f>
        <v>4320</v>
      </c>
      <c r="N17" s="30" t="n">
        <f aca="false">N16*Supuestos!$B$33*Supuestos!$B$34</f>
        <v>4320</v>
      </c>
      <c r="O17" s="30" t="n">
        <f aca="false">O16*Supuestos!$B$33*Supuestos!$B$34</f>
        <v>4320</v>
      </c>
      <c r="P17" s="30" t="n">
        <f aca="false">P16*Supuestos!$B$33*Supuestos!$B$34</f>
        <v>4320</v>
      </c>
      <c r="Q17" s="30" t="n">
        <f aca="false">Q16*Supuestos!$B$33*Supuestos!$B$34</f>
        <v>4320</v>
      </c>
      <c r="R17" s="30" t="n">
        <f aca="false">R16*Supuestos!$B$33*Supuestos!$B$34</f>
        <v>4320</v>
      </c>
      <c r="S17" s="30" t="n">
        <f aca="false">S16*Supuestos!$B$33*Supuestos!$B$34</f>
        <v>4320</v>
      </c>
      <c r="T17" s="30" t="n">
        <f aca="false">T16*Supuestos!$B$33*Supuestos!$B$34</f>
        <v>4320</v>
      </c>
      <c r="U17" s="30" t="n">
        <f aca="false">U16*Supuestos!$B$33*Supuestos!$B$34</f>
        <v>4320</v>
      </c>
      <c r="V17" s="30" t="n">
        <f aca="false">V16*Supuestos!$B$33*Supuestos!$B$34</f>
        <v>4320</v>
      </c>
      <c r="W17" s="30" t="n">
        <f aca="false">W16*Supuestos!$B$33*Supuestos!$B$34</f>
        <v>4320</v>
      </c>
      <c r="X17" s="30" t="n">
        <f aca="false">X16*Supuestos!$B$33*Supuestos!$B$34</f>
        <v>4320</v>
      </c>
      <c r="Y17" s="30" t="n">
        <f aca="false">Y16*Supuestos!$B$33*Supuestos!$B$34</f>
        <v>4320</v>
      </c>
    </row>
    <row r="18" customFormat="false" ht="15" hidden="false" customHeight="false" outlineLevel="0" collapsed="false">
      <c r="A18" s="7" t="s">
        <v>136</v>
      </c>
      <c r="B18" s="30" t="n">
        <f aca="false">B16*Supuestos!$B$35</f>
        <v>150</v>
      </c>
      <c r="C18" s="30" t="n">
        <f aca="false">C16*Supuestos!$B$35</f>
        <v>225</v>
      </c>
      <c r="D18" s="30" t="n">
        <f aca="false">D16*Supuestos!$B$35</f>
        <v>300</v>
      </c>
      <c r="E18" s="30" t="n">
        <f aca="false">E16*Supuestos!$B$35</f>
        <v>375</v>
      </c>
      <c r="F18" s="30" t="n">
        <f aca="false">F16*Supuestos!$B$35</f>
        <v>450</v>
      </c>
      <c r="G18" s="30" t="n">
        <f aca="false">G16*Supuestos!$B$35</f>
        <v>525</v>
      </c>
      <c r="H18" s="30" t="n">
        <f aca="false">H16*Supuestos!$B$35</f>
        <v>600</v>
      </c>
      <c r="I18" s="30" t="n">
        <f aca="false">I16*Supuestos!$B$35</f>
        <v>675</v>
      </c>
      <c r="J18" s="30" t="n">
        <f aca="false">J16*Supuestos!$B$35</f>
        <v>750</v>
      </c>
      <c r="K18" s="30" t="n">
        <f aca="false">K16*Supuestos!$B$35</f>
        <v>825</v>
      </c>
      <c r="L18" s="30" t="n">
        <f aca="false">L16*Supuestos!$B$35</f>
        <v>900</v>
      </c>
      <c r="M18" s="30" t="n">
        <f aca="false">M16*Supuestos!$B$35</f>
        <v>900</v>
      </c>
      <c r="N18" s="30" t="n">
        <f aca="false">N16*Supuestos!$B$35</f>
        <v>900</v>
      </c>
      <c r="O18" s="30" t="n">
        <f aca="false">O16*Supuestos!$B$35</f>
        <v>900</v>
      </c>
      <c r="P18" s="30" t="n">
        <f aca="false">P16*Supuestos!$B$35</f>
        <v>900</v>
      </c>
      <c r="Q18" s="30" t="n">
        <f aca="false">Q16*Supuestos!$B$35</f>
        <v>900</v>
      </c>
      <c r="R18" s="30" t="n">
        <f aca="false">R16*Supuestos!$B$35</f>
        <v>900</v>
      </c>
      <c r="S18" s="30" t="n">
        <f aca="false">S16*Supuestos!$B$35</f>
        <v>900</v>
      </c>
      <c r="T18" s="30" t="n">
        <f aca="false">T16*Supuestos!$B$35</f>
        <v>900</v>
      </c>
      <c r="U18" s="30" t="n">
        <f aca="false">U16*Supuestos!$B$35</f>
        <v>900</v>
      </c>
      <c r="V18" s="30" t="n">
        <f aca="false">V16*Supuestos!$B$35</f>
        <v>900</v>
      </c>
      <c r="W18" s="30" t="n">
        <f aca="false">W16*Supuestos!$B$35</f>
        <v>900</v>
      </c>
      <c r="X18" s="30" t="n">
        <f aca="false">X16*Supuestos!$B$35</f>
        <v>900</v>
      </c>
      <c r="Y18" s="30" t="n">
        <f aca="false">Y16*Supuestos!$B$35</f>
        <v>900</v>
      </c>
    </row>
    <row r="19" customFormat="false" ht="15" hidden="false" customHeight="false" outlineLevel="0" collapsed="false">
      <c r="A19" s="7" t="s">
        <v>137</v>
      </c>
      <c r="B19" s="30" t="n">
        <f aca="false">Supuestos!$B$37*Supuestos!$B$8*(1+Supuestos!$B$38)^(B$3-1)</f>
        <v>300</v>
      </c>
      <c r="C19" s="30" t="n">
        <f aca="false">Supuestos!$B$37*Supuestos!$B$8*(1+Supuestos!$B$38)^(C$3-1)</f>
        <v>324</v>
      </c>
      <c r="D19" s="30" t="n">
        <f aca="false">Supuestos!$B$37*Supuestos!$B$8*(1+Supuestos!$B$38)^(D$3-1)</f>
        <v>349.92</v>
      </c>
      <c r="E19" s="30" t="n">
        <f aca="false">Supuestos!$B$37*Supuestos!$B$8*(1+Supuestos!$B$38)^(E$3-1)</f>
        <v>377.9136</v>
      </c>
      <c r="F19" s="30" t="n">
        <f aca="false">Supuestos!$B$37*Supuestos!$B$8*(1+Supuestos!$B$38)^(F$3-1)</f>
        <v>408.146688</v>
      </c>
      <c r="G19" s="30" t="n">
        <f aca="false">Supuestos!$B$37*Supuestos!$B$8*(1+Supuestos!$B$38)^(G$3-1)</f>
        <v>440.79842304</v>
      </c>
      <c r="H19" s="30" t="n">
        <f aca="false">Supuestos!$B$37*Supuestos!$B$8*(1+Supuestos!$B$38)^(H$3-1)</f>
        <v>476.0622968832</v>
      </c>
      <c r="I19" s="30" t="n">
        <f aca="false">Supuestos!$B$37*Supuestos!$B$8*(1+Supuestos!$B$38)^(I$3-1)</f>
        <v>514.147280633856</v>
      </c>
      <c r="J19" s="30" t="n">
        <f aca="false">Supuestos!$B$37*Supuestos!$B$8*(1+Supuestos!$B$38)^(J$3-1)</f>
        <v>555.279063084565</v>
      </c>
      <c r="K19" s="30" t="n">
        <f aca="false">Supuestos!$B$37*Supuestos!$B$8*(1+Supuestos!$B$38)^(K$3-1)</f>
        <v>599.70138813133</v>
      </c>
      <c r="L19" s="30" t="n">
        <f aca="false">Supuestos!$B$37*Supuestos!$B$8*(1+Supuestos!$B$38)^(L$3-1)</f>
        <v>647.677499181836</v>
      </c>
      <c r="M19" s="30" t="n">
        <f aca="false">Supuestos!$B$37*Supuestos!$B$8*(1+Supuestos!$B$38)^(M$3-1)</f>
        <v>699.491699116383</v>
      </c>
      <c r="N19" s="30" t="n">
        <f aca="false">Supuestos!$B$37*Supuestos!$B$8*(1+Supuestos!$B$38)^(N$3-1)</f>
        <v>755.451035045694</v>
      </c>
      <c r="O19" s="30" t="n">
        <f aca="false">Supuestos!$B$37*Supuestos!$B$8*(1+Supuestos!$B$38)^(O$3-1)</f>
        <v>815.88711784935</v>
      </c>
      <c r="P19" s="30" t="n">
        <f aca="false">Supuestos!$B$37*Supuestos!$B$8*(1+Supuestos!$B$38)^(P$3-1)</f>
        <v>881.158087277298</v>
      </c>
      <c r="Q19" s="30" t="n">
        <f aca="false">Supuestos!$B$37*Supuestos!$B$8*(1+Supuestos!$B$38)^(Q$3-1)</f>
        <v>951.650734259482</v>
      </c>
      <c r="R19" s="30" t="n">
        <f aca="false">Supuestos!$B$37*Supuestos!$B$8*(1+Supuestos!$B$38)^(R$3-1)</f>
        <v>1027.78279300024</v>
      </c>
      <c r="S19" s="30" t="n">
        <f aca="false">Supuestos!$B$37*Supuestos!$B$8*(1+Supuestos!$B$38)^(S$3-1)</f>
        <v>1110.00541644026</v>
      </c>
      <c r="T19" s="30" t="n">
        <f aca="false">Supuestos!$B$37*Supuestos!$B$8*(1+Supuestos!$B$38)^(T$3-1)</f>
        <v>1198.80584975548</v>
      </c>
      <c r="U19" s="30" t="n">
        <f aca="false">Supuestos!$B$37*Supuestos!$B$8*(1+Supuestos!$B$38)^(U$3-1)</f>
        <v>1294.71031773592</v>
      </c>
      <c r="V19" s="30" t="n">
        <f aca="false">Supuestos!$B$37*Supuestos!$B$8*(1+Supuestos!$B$38)^(V$3-1)</f>
        <v>1398.28714315479</v>
      </c>
      <c r="W19" s="30" t="n">
        <f aca="false">Supuestos!$B$37*Supuestos!$B$8*(1+Supuestos!$B$38)^(W$3-1)</f>
        <v>1510.15011460718</v>
      </c>
      <c r="X19" s="30" t="n">
        <f aca="false">Supuestos!$B$37*Supuestos!$B$8*(1+Supuestos!$B$38)^(X$3-1)</f>
        <v>1630.96212377575</v>
      </c>
      <c r="Y19" s="30" t="n">
        <f aca="false">Supuestos!$B$37*Supuestos!$B$8*(1+Supuestos!$B$38)^(Y$3-1)</f>
        <v>1761.43909367781</v>
      </c>
    </row>
    <row r="20" customFormat="false" ht="15" hidden="false" customHeight="false" outlineLevel="0" collapsed="false">
      <c r="A20" s="31" t="s">
        <v>138</v>
      </c>
      <c r="B20" s="26" t="n">
        <f aca="false">B17+B18+B19</f>
        <v>1170</v>
      </c>
      <c r="C20" s="26" t="n">
        <f aca="false">C17+C18+C19</f>
        <v>1629</v>
      </c>
      <c r="D20" s="26" t="n">
        <f aca="false">D17+D18+D19</f>
        <v>2089.92</v>
      </c>
      <c r="E20" s="26" t="n">
        <f aca="false">E17+E18+E19</f>
        <v>2552.9136</v>
      </c>
      <c r="F20" s="26" t="n">
        <f aca="false">F17+F18+F19</f>
        <v>3018.146688</v>
      </c>
      <c r="G20" s="26" t="n">
        <f aca="false">G17+G18+G19</f>
        <v>3485.79842304</v>
      </c>
      <c r="H20" s="26" t="n">
        <f aca="false">H17+H18+H19</f>
        <v>3956.0622968832</v>
      </c>
      <c r="I20" s="26" t="n">
        <f aca="false">I17+I18+I19</f>
        <v>4429.14728063386</v>
      </c>
      <c r="J20" s="26" t="n">
        <f aca="false">J17+J18+J19</f>
        <v>4905.27906308457</v>
      </c>
      <c r="K20" s="26" t="n">
        <f aca="false">K17+K18+K19</f>
        <v>5384.70138813133</v>
      </c>
      <c r="L20" s="26" t="n">
        <f aca="false">L17+L18+L19</f>
        <v>5867.67749918184</v>
      </c>
      <c r="M20" s="26" t="n">
        <f aca="false">M17+M18+M19</f>
        <v>5919.49169911638</v>
      </c>
      <c r="N20" s="26" t="n">
        <f aca="false">N17+N18+N19</f>
        <v>5975.45103504569</v>
      </c>
      <c r="O20" s="26" t="n">
        <f aca="false">O17+O18+O19</f>
        <v>6035.88711784935</v>
      </c>
      <c r="P20" s="26" t="n">
        <f aca="false">P17+P18+P19</f>
        <v>6101.1580872773</v>
      </c>
      <c r="Q20" s="26" t="n">
        <f aca="false">Q17+Q18+Q19</f>
        <v>6171.65073425948</v>
      </c>
      <c r="R20" s="26" t="n">
        <f aca="false">R17+R18+R19</f>
        <v>6247.78279300024</v>
      </c>
      <c r="S20" s="26" t="n">
        <f aca="false">S17+S18+S19</f>
        <v>6330.00541644026</v>
      </c>
      <c r="T20" s="26" t="n">
        <f aca="false">T17+T18+T19</f>
        <v>6418.80584975548</v>
      </c>
      <c r="U20" s="26" t="n">
        <f aca="false">U17+U18+U19</f>
        <v>6514.71031773592</v>
      </c>
      <c r="V20" s="26" t="n">
        <f aca="false">V17+V18+V19</f>
        <v>6618.28714315479</v>
      </c>
      <c r="W20" s="26" t="n">
        <f aca="false">W17+W18+W19</f>
        <v>6730.15011460718</v>
      </c>
      <c r="X20" s="26" t="n">
        <f aca="false">X17+X18+X19</f>
        <v>6850.96212377575</v>
      </c>
      <c r="Y20" s="26" t="n">
        <f aca="false">Y17+Y18+Y19</f>
        <v>6981.43909367781</v>
      </c>
    </row>
    <row r="21" customFormat="false" ht="15" hidden="false" customHeight="false" outlineLevel="0" collapsed="false">
      <c r="A21" s="7" t="s">
        <v>139</v>
      </c>
      <c r="B21" s="30" t="n">
        <f aca="false">B16*Supuestos!$B$36</f>
        <v>150</v>
      </c>
      <c r="C21" s="30" t="n">
        <f aca="false">C16*Supuestos!$B$36</f>
        <v>225</v>
      </c>
      <c r="D21" s="30" t="n">
        <f aca="false">D16*Supuestos!$B$36</f>
        <v>300</v>
      </c>
      <c r="E21" s="30" t="n">
        <f aca="false">E16*Supuestos!$B$36</f>
        <v>375</v>
      </c>
      <c r="F21" s="30" t="n">
        <f aca="false">F16*Supuestos!$B$36</f>
        <v>450</v>
      </c>
      <c r="G21" s="30" t="n">
        <f aca="false">G16*Supuestos!$B$36</f>
        <v>525</v>
      </c>
      <c r="H21" s="30" t="n">
        <f aca="false">H16*Supuestos!$B$36</f>
        <v>600</v>
      </c>
      <c r="I21" s="30" t="n">
        <f aca="false">I16*Supuestos!$B$36</f>
        <v>675</v>
      </c>
      <c r="J21" s="30" t="n">
        <f aca="false">J16*Supuestos!$B$36</f>
        <v>750</v>
      </c>
      <c r="K21" s="30" t="n">
        <f aca="false">K16*Supuestos!$B$36</f>
        <v>825</v>
      </c>
      <c r="L21" s="30" t="n">
        <f aca="false">L16*Supuestos!$B$36</f>
        <v>900</v>
      </c>
      <c r="M21" s="30" t="n">
        <f aca="false">M16*Supuestos!$B$36</f>
        <v>900</v>
      </c>
      <c r="N21" s="30" t="n">
        <f aca="false">N16*Supuestos!$B$36</f>
        <v>900</v>
      </c>
      <c r="O21" s="30" t="n">
        <f aca="false">O16*Supuestos!$B$36</f>
        <v>900</v>
      </c>
      <c r="P21" s="30" t="n">
        <f aca="false">P16*Supuestos!$B$36</f>
        <v>900</v>
      </c>
      <c r="Q21" s="30" t="n">
        <f aca="false">Q16*Supuestos!$B$36</f>
        <v>900</v>
      </c>
      <c r="R21" s="30" t="n">
        <f aca="false">R16*Supuestos!$B$36</f>
        <v>900</v>
      </c>
      <c r="S21" s="30" t="n">
        <f aca="false">S16*Supuestos!$B$36</f>
        <v>900</v>
      </c>
      <c r="T21" s="30" t="n">
        <f aca="false">T16*Supuestos!$B$36</f>
        <v>900</v>
      </c>
      <c r="U21" s="30" t="n">
        <f aca="false">U16*Supuestos!$B$36</f>
        <v>900</v>
      </c>
      <c r="V21" s="30" t="n">
        <f aca="false">V16*Supuestos!$B$36</f>
        <v>900</v>
      </c>
      <c r="W21" s="30" t="n">
        <f aca="false">W16*Supuestos!$B$36</f>
        <v>900</v>
      </c>
      <c r="X21" s="30" t="n">
        <f aca="false">X16*Supuestos!$B$36</f>
        <v>900</v>
      </c>
      <c r="Y21" s="30" t="n">
        <f aca="false">Y16*Supuestos!$B$36</f>
        <v>900</v>
      </c>
    </row>
    <row r="22" customFormat="false" ht="15" hidden="false" customHeight="false" outlineLevel="0" collapsed="false">
      <c r="A22" s="7" t="s">
        <v>140</v>
      </c>
      <c r="B22" s="30" t="n">
        <f aca="false">Supuestos!$B$39</f>
        <v>300</v>
      </c>
      <c r="C22" s="30" t="n">
        <f aca="false">Supuestos!$B$39</f>
        <v>300</v>
      </c>
      <c r="D22" s="30" t="n">
        <f aca="false">Supuestos!$B$39</f>
        <v>300</v>
      </c>
      <c r="E22" s="30" t="n">
        <f aca="false">Supuestos!$B$39</f>
        <v>300</v>
      </c>
      <c r="F22" s="30" t="n">
        <f aca="false">Supuestos!$B$39</f>
        <v>300</v>
      </c>
      <c r="G22" s="30" t="n">
        <f aca="false">Supuestos!$B$39</f>
        <v>300</v>
      </c>
      <c r="H22" s="30" t="n">
        <f aca="false">Supuestos!$B$39</f>
        <v>300</v>
      </c>
      <c r="I22" s="30" t="n">
        <f aca="false">Supuestos!$B$39</f>
        <v>300</v>
      </c>
      <c r="J22" s="30" t="n">
        <f aca="false">Supuestos!$B$39</f>
        <v>300</v>
      </c>
      <c r="K22" s="30" t="n">
        <f aca="false">Supuestos!$B$39</f>
        <v>300</v>
      </c>
      <c r="L22" s="30" t="n">
        <f aca="false">Supuestos!$B$39</f>
        <v>300</v>
      </c>
      <c r="M22" s="30" t="n">
        <f aca="false">Supuestos!$B$39</f>
        <v>300</v>
      </c>
      <c r="N22" s="30" t="n">
        <f aca="false">Supuestos!$B$39</f>
        <v>300</v>
      </c>
      <c r="O22" s="30" t="n">
        <f aca="false">Supuestos!$B$39</f>
        <v>300</v>
      </c>
      <c r="P22" s="30" t="n">
        <f aca="false">Supuestos!$B$39</f>
        <v>300</v>
      </c>
      <c r="Q22" s="30" t="n">
        <f aca="false">Supuestos!$B$39</f>
        <v>300</v>
      </c>
      <c r="R22" s="30" t="n">
        <f aca="false">Supuestos!$B$39</f>
        <v>300</v>
      </c>
      <c r="S22" s="30" t="n">
        <f aca="false">Supuestos!$B$39</f>
        <v>300</v>
      </c>
      <c r="T22" s="30" t="n">
        <f aca="false">Supuestos!$B$39</f>
        <v>300</v>
      </c>
      <c r="U22" s="30" t="n">
        <f aca="false">Supuestos!$B$39</f>
        <v>300</v>
      </c>
      <c r="V22" s="30" t="n">
        <f aca="false">Supuestos!$B$39</f>
        <v>300</v>
      </c>
      <c r="W22" s="30" t="n">
        <f aca="false">Supuestos!$B$39</f>
        <v>300</v>
      </c>
      <c r="X22" s="30" t="n">
        <f aca="false">Supuestos!$B$39</f>
        <v>300</v>
      </c>
      <c r="Y22" s="30" t="n">
        <f aca="false">Supuestos!$B$39</f>
        <v>300</v>
      </c>
    </row>
    <row r="23" customFormat="false" ht="15" hidden="false" customHeight="false" outlineLevel="0" collapsed="false">
      <c r="A23" s="7" t="s">
        <v>141</v>
      </c>
      <c r="B23" s="30" t="n">
        <f aca="false">Supuestos!$B$40</f>
        <v>250</v>
      </c>
      <c r="C23" s="30" t="n">
        <f aca="false">Supuestos!$B$40</f>
        <v>250</v>
      </c>
      <c r="D23" s="30" t="n">
        <f aca="false">Supuestos!$B$40</f>
        <v>250</v>
      </c>
      <c r="E23" s="30" t="n">
        <f aca="false">Supuestos!$B$40</f>
        <v>250</v>
      </c>
      <c r="F23" s="30" t="n">
        <f aca="false">Supuestos!$B$40</f>
        <v>250</v>
      </c>
      <c r="G23" s="30" t="n">
        <f aca="false">Supuestos!$B$40</f>
        <v>250</v>
      </c>
      <c r="H23" s="30" t="n">
        <f aca="false">Supuestos!$B$40</f>
        <v>250</v>
      </c>
      <c r="I23" s="30" t="n">
        <f aca="false">Supuestos!$B$40</f>
        <v>250</v>
      </c>
      <c r="J23" s="30" t="n">
        <f aca="false">Supuestos!$B$40</f>
        <v>250</v>
      </c>
      <c r="K23" s="30" t="n">
        <f aca="false">Supuestos!$B$40</f>
        <v>250</v>
      </c>
      <c r="L23" s="30" t="n">
        <f aca="false">Supuestos!$B$40</f>
        <v>250</v>
      </c>
      <c r="M23" s="30" t="n">
        <f aca="false">Supuestos!$B$40</f>
        <v>250</v>
      </c>
      <c r="N23" s="30" t="n">
        <f aca="false">Supuestos!$B$40</f>
        <v>250</v>
      </c>
      <c r="O23" s="30" t="n">
        <f aca="false">Supuestos!$B$40</f>
        <v>250</v>
      </c>
      <c r="P23" s="30" t="n">
        <f aca="false">Supuestos!$B$40</f>
        <v>250</v>
      </c>
      <c r="Q23" s="30" t="n">
        <f aca="false">Supuestos!$B$40</f>
        <v>250</v>
      </c>
      <c r="R23" s="30" t="n">
        <f aca="false">Supuestos!$B$40</f>
        <v>250</v>
      </c>
      <c r="S23" s="30" t="n">
        <f aca="false">Supuestos!$B$40</f>
        <v>250</v>
      </c>
      <c r="T23" s="30" t="n">
        <f aca="false">Supuestos!$B$40</f>
        <v>250</v>
      </c>
      <c r="U23" s="30" t="n">
        <f aca="false">Supuestos!$B$40</f>
        <v>250</v>
      </c>
      <c r="V23" s="30" t="n">
        <f aca="false">Supuestos!$B$40</f>
        <v>250</v>
      </c>
      <c r="W23" s="30" t="n">
        <f aca="false">Supuestos!$B$40</f>
        <v>250</v>
      </c>
      <c r="X23" s="30" t="n">
        <f aca="false">Supuestos!$B$40</f>
        <v>250</v>
      </c>
      <c r="Y23" s="30" t="n">
        <f aca="false">Supuestos!$B$40</f>
        <v>250</v>
      </c>
    </row>
    <row r="24" customFormat="false" ht="15" hidden="false" customHeight="false" outlineLevel="0" collapsed="false">
      <c r="A24" s="31" t="s">
        <v>142</v>
      </c>
      <c r="B24" s="26" t="n">
        <f aca="false">B20-B21-B22-B23</f>
        <v>470</v>
      </c>
      <c r="C24" s="26" t="n">
        <f aca="false">C20-C21-C22-C23</f>
        <v>854</v>
      </c>
      <c r="D24" s="26" t="n">
        <f aca="false">D20-D21-D22-D23</f>
        <v>1239.92</v>
      </c>
      <c r="E24" s="26" t="n">
        <f aca="false">E20-E21-E22-E23</f>
        <v>1627.9136</v>
      </c>
      <c r="F24" s="26" t="n">
        <f aca="false">F20-F21-F22-F23</f>
        <v>2018.146688</v>
      </c>
      <c r="G24" s="26" t="n">
        <f aca="false">G20-G21-G22-G23</f>
        <v>2410.79842304</v>
      </c>
      <c r="H24" s="26" t="n">
        <f aca="false">H20-H21-H22-H23</f>
        <v>2806.0622968832</v>
      </c>
      <c r="I24" s="26" t="n">
        <f aca="false">I20-I21-I22-I23</f>
        <v>3204.14728063386</v>
      </c>
      <c r="J24" s="26" t="n">
        <f aca="false">J20-J21-J22-J23</f>
        <v>3605.27906308456</v>
      </c>
      <c r="K24" s="26" t="n">
        <f aca="false">K20-K21-K22-K23</f>
        <v>4009.70138813133</v>
      </c>
      <c r="L24" s="26" t="n">
        <f aca="false">L20-L21-L22-L23</f>
        <v>4417.67749918184</v>
      </c>
      <c r="M24" s="26" t="n">
        <f aca="false">M20-M21-M22-M23</f>
        <v>4469.49169911638</v>
      </c>
      <c r="N24" s="26" t="n">
        <f aca="false">N20-N21-N22-N23</f>
        <v>4525.45103504569</v>
      </c>
      <c r="O24" s="26" t="n">
        <f aca="false">O20-O21-O22-O23</f>
        <v>4585.88711784935</v>
      </c>
      <c r="P24" s="26" t="n">
        <f aca="false">P20-P21-P22-P23</f>
        <v>4651.1580872773</v>
      </c>
      <c r="Q24" s="26" t="n">
        <f aca="false">Q20-Q21-Q22-Q23</f>
        <v>4721.65073425948</v>
      </c>
      <c r="R24" s="26" t="n">
        <f aca="false">R20-R21-R22-R23</f>
        <v>4797.78279300024</v>
      </c>
      <c r="S24" s="26" t="n">
        <f aca="false">S20-S21-S22-S23</f>
        <v>4880.00541644026</v>
      </c>
      <c r="T24" s="26" t="n">
        <f aca="false">T20-T21-T22-T23</f>
        <v>4968.80584975548</v>
      </c>
      <c r="U24" s="26" t="n">
        <f aca="false">U20-U21-U22-U23</f>
        <v>5064.71031773592</v>
      </c>
      <c r="V24" s="26" t="n">
        <f aca="false">V20-V21-V22-V23</f>
        <v>5168.28714315479</v>
      </c>
      <c r="W24" s="26" t="n">
        <f aca="false">W20-W21-W22-W23</f>
        <v>5280.15011460718</v>
      </c>
      <c r="X24" s="26" t="n">
        <f aca="false">X20-X21-X22-X23</f>
        <v>5400.96212377575</v>
      </c>
      <c r="Y24" s="26" t="n">
        <f aca="false">Y20-Y21-Y22-Y23</f>
        <v>5531.43909367781</v>
      </c>
    </row>
    <row r="26" customFormat="false" ht="15" hidden="false" customHeight="false" outlineLevel="0" collapsed="false">
      <c r="A26" s="5" t="s">
        <v>143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customFormat="false" ht="15" hidden="false" customHeight="false" outlineLevel="0" collapsed="false">
      <c r="A27" s="7" t="s">
        <v>144</v>
      </c>
      <c r="B27" s="23" t="n">
        <f aca="false">B13+B24</f>
        <v>1428.33333333333</v>
      </c>
      <c r="C27" s="23" t="n">
        <f aca="false">C13+C24</f>
        <v>2344.41666666667</v>
      </c>
      <c r="D27" s="23" t="n">
        <f aca="false">D13+D24</f>
        <v>3237.4825</v>
      </c>
      <c r="E27" s="23" t="n">
        <f aca="false">E13+E24</f>
        <v>4108.93130833333</v>
      </c>
      <c r="F27" s="23" t="n">
        <f aca="false">F13+F24</f>
        <v>4960.11351091667</v>
      </c>
      <c r="G27" s="23" t="n">
        <f aca="false">G13+G24</f>
        <v>5792.3335714775</v>
      </c>
      <c r="H27" s="23" t="n">
        <f aca="false">H13+H24</f>
        <v>6606.85402123216</v>
      </c>
      <c r="I27" s="23" t="n">
        <f aca="false">I13+I24</f>
        <v>7404.89941876537</v>
      </c>
      <c r="J27" s="23" t="n">
        <f aca="false">J13+J24</f>
        <v>8187.66026097617</v>
      </c>
      <c r="K27" s="23" t="n">
        <f aca="false">K13+K24</f>
        <v>8943.03472146466</v>
      </c>
      <c r="L27" s="23" t="n">
        <f aca="false">L13+L24</f>
        <v>9384.3441658485</v>
      </c>
      <c r="M27" s="23" t="n">
        <f aca="false">M13+M24</f>
        <v>9469.49169911639</v>
      </c>
      <c r="N27" s="23" t="n">
        <f aca="false">N13+N24</f>
        <v>9558.78436837903</v>
      </c>
      <c r="O27" s="23" t="n">
        <f aca="false">O13+O24</f>
        <v>9652.55378451602</v>
      </c>
      <c r="P27" s="23" t="n">
        <f aca="false">P13+P24</f>
        <v>9751.1580872773</v>
      </c>
      <c r="Q27" s="23" t="n">
        <f aca="false">Q13+Q24</f>
        <v>9854.98406759281</v>
      </c>
      <c r="R27" s="23" t="n">
        <f aca="false">R13+R24</f>
        <v>9964.44945966691</v>
      </c>
      <c r="S27" s="23" t="n">
        <f aca="false">S13+S24</f>
        <v>10080.0054164403</v>
      </c>
      <c r="T27" s="23" t="n">
        <f aca="false">T13+T24</f>
        <v>10202.1391830888</v>
      </c>
      <c r="U27" s="23" t="n">
        <f aca="false">U13+U24</f>
        <v>10331.3769844026</v>
      </c>
      <c r="V27" s="23" t="n">
        <f aca="false">V13+V24</f>
        <v>10468.2871431548</v>
      </c>
      <c r="W27" s="23" t="n">
        <f aca="false">W13+W24</f>
        <v>10613.4834479405</v>
      </c>
      <c r="X27" s="23" t="n">
        <f aca="false">X13+X24</f>
        <v>10767.6287904424</v>
      </c>
      <c r="Y27" s="23" t="n">
        <f aca="false">Y13+Y24</f>
        <v>10931.4390936778</v>
      </c>
    </row>
    <row r="28" customFormat="false" ht="15" hidden="false" customHeight="false" outlineLevel="0" collapsed="false">
      <c r="A28" s="7" t="s">
        <v>145</v>
      </c>
      <c r="B28" s="30" t="n">
        <f aca="false">MAX(0,B27)*Supuestos!$B$15</f>
        <v>142.833333333333</v>
      </c>
      <c r="C28" s="30" t="n">
        <f aca="false">MAX(0,C27)*Supuestos!$B$15</f>
        <v>234.441666666667</v>
      </c>
      <c r="D28" s="30" t="n">
        <f aca="false">MAX(0,D27)*Supuestos!$B$15</f>
        <v>323.74825</v>
      </c>
      <c r="E28" s="30" t="n">
        <f aca="false">MAX(0,E27)*Supuestos!$B$15</f>
        <v>410.893130833333</v>
      </c>
      <c r="F28" s="30" t="n">
        <f aca="false">MAX(0,F27)*Supuestos!$B$15</f>
        <v>496.011351091667</v>
      </c>
      <c r="G28" s="30" t="n">
        <f aca="false">MAX(0,G27)*Supuestos!$B$15</f>
        <v>579.23335714775</v>
      </c>
      <c r="H28" s="30" t="n">
        <f aca="false">MAX(0,H27)*Supuestos!$B$15</f>
        <v>660.685402123216</v>
      </c>
      <c r="I28" s="30" t="n">
        <f aca="false">MAX(0,I27)*Supuestos!$B$15</f>
        <v>740.489941876537</v>
      </c>
      <c r="J28" s="30" t="n">
        <f aca="false">MAX(0,J27)*Supuestos!$B$15</f>
        <v>818.766026097617</v>
      </c>
      <c r="K28" s="30" t="n">
        <f aca="false">MAX(0,K27)*Supuestos!$B$15</f>
        <v>894.303472146466</v>
      </c>
      <c r="L28" s="30" t="n">
        <f aca="false">MAX(0,L27)*Supuestos!$B$15</f>
        <v>938.43441658485</v>
      </c>
      <c r="M28" s="30" t="n">
        <f aca="false">MAX(0,M27)*Supuestos!$B$15</f>
        <v>946.949169911639</v>
      </c>
      <c r="N28" s="30" t="n">
        <f aca="false">MAX(0,N27)*Supuestos!$B$15</f>
        <v>955.878436837903</v>
      </c>
      <c r="O28" s="30" t="n">
        <f aca="false">MAX(0,O27)*Supuestos!$B$15</f>
        <v>965.255378451602</v>
      </c>
      <c r="P28" s="30" t="n">
        <f aca="false">MAX(0,P27)*Supuestos!$B$15</f>
        <v>975.11580872773</v>
      </c>
      <c r="Q28" s="30" t="n">
        <f aca="false">MAX(0,Q27)*Supuestos!$B$15</f>
        <v>985.498406759281</v>
      </c>
      <c r="R28" s="30" t="n">
        <f aca="false">MAX(0,R27)*Supuestos!$B$15</f>
        <v>996.444945966691</v>
      </c>
      <c r="S28" s="30" t="n">
        <f aca="false">MAX(0,S27)*Supuestos!$B$15</f>
        <v>1008.00054164403</v>
      </c>
      <c r="T28" s="30" t="n">
        <f aca="false">MAX(0,T27)*Supuestos!$B$15</f>
        <v>1020.21391830888</v>
      </c>
      <c r="U28" s="30" t="n">
        <f aca="false">MAX(0,U27)*Supuestos!$B$15</f>
        <v>1033.13769844026</v>
      </c>
      <c r="V28" s="30" t="n">
        <f aca="false">MAX(0,V27)*Supuestos!$B$15</f>
        <v>1046.82871431548</v>
      </c>
      <c r="W28" s="30" t="n">
        <f aca="false">MAX(0,W27)*Supuestos!$B$15</f>
        <v>1061.34834479405</v>
      </c>
      <c r="X28" s="30" t="n">
        <f aca="false">MAX(0,X27)*Supuestos!$B$15</f>
        <v>1076.76287904424</v>
      </c>
      <c r="Y28" s="30" t="n">
        <f aca="false">MAX(0,Y27)*Supuestos!$B$15</f>
        <v>1093.14390936778</v>
      </c>
    </row>
    <row r="29" customFormat="false" ht="15" hidden="false" customHeight="false" outlineLevel="0" collapsed="false">
      <c r="A29" s="7" t="s">
        <v>146</v>
      </c>
      <c r="B29" s="30" t="n">
        <f aca="false">Supuestos!$B$13</f>
        <v>2500</v>
      </c>
      <c r="C29" s="30" t="n">
        <f aca="false">Supuestos!$B$13</f>
        <v>2500</v>
      </c>
      <c r="D29" s="30" t="n">
        <f aca="false">Supuestos!$B$13</f>
        <v>2500</v>
      </c>
      <c r="E29" s="30" t="n">
        <f aca="false">Supuestos!$B$13</f>
        <v>2500</v>
      </c>
      <c r="F29" s="30" t="n">
        <f aca="false">Supuestos!$B$13</f>
        <v>2500</v>
      </c>
      <c r="G29" s="30" t="n">
        <f aca="false">Supuestos!$B$13</f>
        <v>2500</v>
      </c>
      <c r="H29" s="30" t="n">
        <f aca="false">Supuestos!$B$13</f>
        <v>2500</v>
      </c>
      <c r="I29" s="30" t="n">
        <f aca="false">Supuestos!$B$13</f>
        <v>2500</v>
      </c>
      <c r="J29" s="30" t="n">
        <f aca="false">Supuestos!$B$13</f>
        <v>2500</v>
      </c>
      <c r="K29" s="30" t="n">
        <f aca="false">Supuestos!$B$13</f>
        <v>2500</v>
      </c>
      <c r="L29" s="30" t="n">
        <f aca="false">Supuestos!$B$13</f>
        <v>2500</v>
      </c>
      <c r="M29" s="30" t="n">
        <f aca="false">Supuestos!$B$13</f>
        <v>2500</v>
      </c>
      <c r="N29" s="30" t="n">
        <f aca="false">Supuestos!$B$13</f>
        <v>2500</v>
      </c>
      <c r="O29" s="30" t="n">
        <f aca="false">Supuestos!$B$13</f>
        <v>2500</v>
      </c>
      <c r="P29" s="30" t="n">
        <f aca="false">Supuestos!$B$13</f>
        <v>2500</v>
      </c>
      <c r="Q29" s="30" t="n">
        <f aca="false">Supuestos!$B$13</f>
        <v>2500</v>
      </c>
      <c r="R29" s="30" t="n">
        <f aca="false">Supuestos!$B$13</f>
        <v>2500</v>
      </c>
      <c r="S29" s="30" t="n">
        <f aca="false">Supuestos!$B$13</f>
        <v>2500</v>
      </c>
      <c r="T29" s="30" t="n">
        <f aca="false">Supuestos!$B$13</f>
        <v>2500</v>
      </c>
      <c r="U29" s="30" t="n">
        <f aca="false">Supuestos!$B$13</f>
        <v>2500</v>
      </c>
      <c r="V29" s="30" t="n">
        <f aca="false">Supuestos!$B$13</f>
        <v>2500</v>
      </c>
      <c r="W29" s="30" t="n">
        <f aca="false">Supuestos!$B$13</f>
        <v>2500</v>
      </c>
      <c r="X29" s="30" t="n">
        <f aca="false">Supuestos!$B$13</f>
        <v>2500</v>
      </c>
      <c r="Y29" s="30" t="n">
        <f aca="false">Supuestos!$B$13</f>
        <v>2500</v>
      </c>
    </row>
    <row r="30" customFormat="false" ht="15" hidden="false" customHeight="false" outlineLevel="0" collapsed="false">
      <c r="A30" s="7" t="s">
        <v>147</v>
      </c>
      <c r="B30" s="30" t="n">
        <f aca="false">SUMPRODUCT((Deudas!$F$4:$F$13&gt;=B$3)*Deudas!$E$4:$E$13)</f>
        <v>1000</v>
      </c>
      <c r="C30" s="30" t="n">
        <f aca="false">SUMPRODUCT((Deudas!$F$4:$F$13&gt;=C$3)*Deudas!$E$4:$E$13)</f>
        <v>1000</v>
      </c>
      <c r="D30" s="30" t="n">
        <f aca="false">SUMPRODUCT((Deudas!$F$4:$F$13&gt;=D$3)*Deudas!$E$4:$E$13)</f>
        <v>1000</v>
      </c>
      <c r="E30" s="30" t="n">
        <f aca="false">SUMPRODUCT((Deudas!$F$4:$F$13&gt;=E$3)*Deudas!$E$4:$E$13)</f>
        <v>1000</v>
      </c>
      <c r="F30" s="30" t="n">
        <f aca="false">SUMPRODUCT((Deudas!$F$4:$F$13&gt;=F$3)*Deudas!$E$4:$E$13)</f>
        <v>1000</v>
      </c>
      <c r="G30" s="30" t="n">
        <f aca="false">SUMPRODUCT((Deudas!$F$4:$F$13&gt;=G$3)*Deudas!$E$4:$E$13)</f>
        <v>1000</v>
      </c>
      <c r="H30" s="30" t="n">
        <f aca="false">SUMPRODUCT((Deudas!$F$4:$F$13&gt;=H$3)*Deudas!$E$4:$E$13)</f>
        <v>1000</v>
      </c>
      <c r="I30" s="30" t="n">
        <f aca="false">SUMPRODUCT((Deudas!$F$4:$F$13&gt;=I$3)*Deudas!$E$4:$E$13)</f>
        <v>1000</v>
      </c>
      <c r="J30" s="30" t="n">
        <f aca="false">SUMPRODUCT((Deudas!$F$4:$F$13&gt;=J$3)*Deudas!$E$4:$E$13)</f>
        <v>1000</v>
      </c>
      <c r="K30" s="30" t="n">
        <f aca="false">SUMPRODUCT((Deudas!$F$4:$F$13&gt;=K$3)*Deudas!$E$4:$E$13)</f>
        <v>1000</v>
      </c>
      <c r="L30" s="30" t="n">
        <f aca="false">SUMPRODUCT((Deudas!$F$4:$F$13&gt;=L$3)*Deudas!$E$4:$E$13)</f>
        <v>1000</v>
      </c>
      <c r="M30" s="30" t="n">
        <f aca="false">SUMPRODUCT((Deudas!$F$4:$F$13&gt;=M$3)*Deudas!$E$4:$E$13)</f>
        <v>1000</v>
      </c>
      <c r="N30" s="30" t="n">
        <f aca="false">SUMPRODUCT((Deudas!$F$4:$F$13&gt;=N$3)*Deudas!$E$4:$E$13)</f>
        <v>1000</v>
      </c>
      <c r="O30" s="30" t="n">
        <f aca="false">SUMPRODUCT((Deudas!$F$4:$F$13&gt;=O$3)*Deudas!$E$4:$E$13)</f>
        <v>1000</v>
      </c>
      <c r="P30" s="30" t="n">
        <f aca="false">SUMPRODUCT((Deudas!$F$4:$F$13&gt;=P$3)*Deudas!$E$4:$E$13)</f>
        <v>1000</v>
      </c>
      <c r="Q30" s="30" t="n">
        <f aca="false">SUMPRODUCT((Deudas!$F$4:$F$13&gt;=Q$3)*Deudas!$E$4:$E$13)</f>
        <v>1000</v>
      </c>
      <c r="R30" s="30" t="n">
        <f aca="false">SUMPRODUCT((Deudas!$F$4:$F$13&gt;=R$3)*Deudas!$E$4:$E$13)</f>
        <v>1000</v>
      </c>
      <c r="S30" s="30" t="n">
        <f aca="false">SUMPRODUCT((Deudas!$F$4:$F$13&gt;=S$3)*Deudas!$E$4:$E$13)</f>
        <v>1000</v>
      </c>
      <c r="T30" s="30" t="n">
        <f aca="false">SUMPRODUCT((Deudas!$F$4:$F$13&gt;=T$3)*Deudas!$E$4:$E$13)</f>
        <v>750</v>
      </c>
      <c r="U30" s="30" t="n">
        <f aca="false">SUMPRODUCT((Deudas!$F$4:$F$13&gt;=U$3)*Deudas!$E$4:$E$13)</f>
        <v>750</v>
      </c>
      <c r="V30" s="30" t="n">
        <f aca="false">SUMPRODUCT((Deudas!$F$4:$F$13&gt;=V$3)*Deudas!$E$4:$E$13)</f>
        <v>750</v>
      </c>
      <c r="W30" s="30" t="n">
        <f aca="false">SUMPRODUCT((Deudas!$F$4:$F$13&gt;=W$3)*Deudas!$E$4:$E$13)</f>
        <v>750</v>
      </c>
      <c r="X30" s="30" t="n">
        <f aca="false">SUMPRODUCT((Deudas!$F$4:$F$13&gt;=X$3)*Deudas!$E$4:$E$13)</f>
        <v>750</v>
      </c>
      <c r="Y30" s="30" t="n">
        <f aca="false">SUMPRODUCT((Deudas!$F$4:$F$13&gt;=Y$3)*Deudas!$E$4:$E$13)</f>
        <v>750</v>
      </c>
    </row>
    <row r="31" customFormat="false" ht="15" hidden="false" customHeight="false" outlineLevel="0" collapsed="false">
      <c r="A31" s="31" t="s">
        <v>148</v>
      </c>
      <c r="B31" s="26" t="n">
        <f aca="false">B27-B28-B29-B30</f>
        <v>-2214.5</v>
      </c>
      <c r="C31" s="26" t="n">
        <f aca="false">C27-C28-C29-C30</f>
        <v>-1390.025</v>
      </c>
      <c r="D31" s="26" t="n">
        <f aca="false">D27-D28-D29-D30</f>
        <v>-586.26575</v>
      </c>
      <c r="E31" s="26" t="n">
        <f aca="false">E27-E28-E29-E30</f>
        <v>198.0381775</v>
      </c>
      <c r="F31" s="26" t="n">
        <f aca="false">F27-F28-F29-F30</f>
        <v>964.102159825</v>
      </c>
      <c r="G31" s="26" t="n">
        <f aca="false">G27-G28-G29-G30</f>
        <v>1713.10021432975</v>
      </c>
      <c r="H31" s="26" t="n">
        <f aca="false">H27-H28-H29-H30</f>
        <v>2446.16861910894</v>
      </c>
      <c r="I31" s="26" t="n">
        <f aca="false">I27-I28-I29-I30</f>
        <v>3164.40947688883</v>
      </c>
      <c r="J31" s="26" t="n">
        <f aca="false">J27-J28-J29-J30</f>
        <v>3868.89423487855</v>
      </c>
      <c r="K31" s="26" t="n">
        <f aca="false">K27-K28-K29-K30</f>
        <v>4548.7312493182</v>
      </c>
      <c r="L31" s="26" t="n">
        <f aca="false">L27-L28-L29-L30</f>
        <v>4945.90974926365</v>
      </c>
      <c r="M31" s="26" t="n">
        <f aca="false">M27-M28-M29-M30</f>
        <v>5022.54252920475</v>
      </c>
      <c r="N31" s="26" t="n">
        <f aca="false">N27-N28-N29-N30</f>
        <v>5102.90593154113</v>
      </c>
      <c r="O31" s="26" t="n">
        <f aca="false">O27-O28-O29-O30</f>
        <v>5187.29840606442</v>
      </c>
      <c r="P31" s="26" t="n">
        <f aca="false">P27-P28-P29-P30</f>
        <v>5276.04227854957</v>
      </c>
      <c r="Q31" s="26" t="n">
        <f aca="false">Q27-Q28-Q29-Q30</f>
        <v>5369.48566083353</v>
      </c>
      <c r="R31" s="26" t="n">
        <f aca="false">R27-R28-R29-R30</f>
        <v>5468.00451370022</v>
      </c>
      <c r="S31" s="26" t="n">
        <f aca="false">S27-S28-S29-S30</f>
        <v>5572.00487479623</v>
      </c>
      <c r="T31" s="26" t="n">
        <f aca="false">T27-T28-T29-T30</f>
        <v>5931.92526477993</v>
      </c>
      <c r="U31" s="26" t="n">
        <f aca="false">U27-U28-U29-U30</f>
        <v>6048.23928596233</v>
      </c>
      <c r="V31" s="26" t="n">
        <f aca="false">V27-V28-V29-V30</f>
        <v>6171.45842883931</v>
      </c>
      <c r="W31" s="26" t="n">
        <f aca="false">W27-W28-W29-W30</f>
        <v>6302.13510314646</v>
      </c>
      <c r="X31" s="26" t="n">
        <f aca="false">X27-X28-X29-X30</f>
        <v>6440.86591139818</v>
      </c>
      <c r="Y31" s="26" t="n">
        <f aca="false">Y27-Y28-Y29-Y30</f>
        <v>6588.29518431003</v>
      </c>
    </row>
    <row r="32" customFormat="false" ht="15" hidden="false" customHeight="false" outlineLevel="0" collapsed="false">
      <c r="A32" s="7" t="s">
        <v>149</v>
      </c>
      <c r="B32" s="30" t="n">
        <f aca="false">Supuestos!$B$11</f>
        <v>5000</v>
      </c>
      <c r="C32" s="23" t="n">
        <f aca="false">B33</f>
        <v>2785.5</v>
      </c>
      <c r="D32" s="23" t="n">
        <f aca="false">C33</f>
        <v>1395.475</v>
      </c>
      <c r="E32" s="23" t="n">
        <f aca="false">D33</f>
        <v>809.20925</v>
      </c>
      <c r="F32" s="23" t="n">
        <f aca="false">E33</f>
        <v>1007.2474275</v>
      </c>
      <c r="G32" s="23" t="n">
        <f aca="false">F33</f>
        <v>1971.349587325</v>
      </c>
      <c r="H32" s="23" t="n">
        <f aca="false">G33</f>
        <v>3684.44980165475</v>
      </c>
      <c r="I32" s="23" t="n">
        <f aca="false">H33</f>
        <v>6130.61842076369</v>
      </c>
      <c r="J32" s="23" t="n">
        <f aca="false">I33</f>
        <v>9295.02789765252</v>
      </c>
      <c r="K32" s="23" t="n">
        <f aca="false">J33</f>
        <v>13163.9221325311</v>
      </c>
      <c r="L32" s="23" t="n">
        <f aca="false">K33</f>
        <v>17712.6533818493</v>
      </c>
      <c r="M32" s="23" t="n">
        <f aca="false">L33</f>
        <v>22658.5631311129</v>
      </c>
      <c r="N32" s="23" t="n">
        <f aca="false">M33</f>
        <v>27681.1056603177</v>
      </c>
      <c r="O32" s="23" t="n">
        <f aca="false">N33</f>
        <v>32784.0115918588</v>
      </c>
      <c r="P32" s="23" t="n">
        <f aca="false">O33</f>
        <v>37971.3099979232</v>
      </c>
      <c r="Q32" s="23" t="n">
        <f aca="false">P33</f>
        <v>43247.3522764728</v>
      </c>
      <c r="R32" s="23" t="n">
        <f aca="false">Q33</f>
        <v>48616.8379373063</v>
      </c>
      <c r="S32" s="23" t="n">
        <f aca="false">R33</f>
        <v>54084.8424510065</v>
      </c>
      <c r="T32" s="23" t="n">
        <f aca="false">S33</f>
        <v>59656.8473258028</v>
      </c>
      <c r="U32" s="23" t="n">
        <f aca="false">T33</f>
        <v>65588.7725905827</v>
      </c>
      <c r="V32" s="23" t="n">
        <f aca="false">U33</f>
        <v>71637.011876545</v>
      </c>
      <c r="W32" s="23" t="n">
        <f aca="false">V33</f>
        <v>77808.4703053843</v>
      </c>
      <c r="X32" s="23" t="n">
        <f aca="false">W33</f>
        <v>84110.6054085308</v>
      </c>
      <c r="Y32" s="23" t="n">
        <f aca="false">X33</f>
        <v>90551.4713199289</v>
      </c>
    </row>
    <row r="33" customFormat="false" ht="15" hidden="false" customHeight="false" outlineLevel="0" collapsed="false">
      <c r="A33" s="31" t="s">
        <v>150</v>
      </c>
      <c r="B33" s="26" t="n">
        <f aca="false">B32+B31</f>
        <v>2785.5</v>
      </c>
      <c r="C33" s="26" t="n">
        <f aca="false">C32+C31</f>
        <v>1395.475</v>
      </c>
      <c r="D33" s="26" t="n">
        <f aca="false">D32+D31</f>
        <v>809.20925</v>
      </c>
      <c r="E33" s="26" t="n">
        <f aca="false">E32+E31</f>
        <v>1007.2474275</v>
      </c>
      <c r="F33" s="26" t="n">
        <f aca="false">F32+F31</f>
        <v>1971.349587325</v>
      </c>
      <c r="G33" s="26" t="n">
        <f aca="false">G32+G31</f>
        <v>3684.44980165475</v>
      </c>
      <c r="H33" s="26" t="n">
        <f aca="false">H32+H31</f>
        <v>6130.61842076369</v>
      </c>
      <c r="I33" s="26" t="n">
        <f aca="false">I32+I31</f>
        <v>9295.02789765252</v>
      </c>
      <c r="J33" s="26" t="n">
        <f aca="false">J32+J31</f>
        <v>13163.9221325311</v>
      </c>
      <c r="K33" s="26" t="n">
        <f aca="false">K32+K31</f>
        <v>17712.6533818493</v>
      </c>
      <c r="L33" s="26" t="n">
        <f aca="false">L32+L31</f>
        <v>22658.5631311129</v>
      </c>
      <c r="M33" s="26" t="n">
        <f aca="false">M32+M31</f>
        <v>27681.1056603177</v>
      </c>
      <c r="N33" s="26" t="n">
        <f aca="false">N32+N31</f>
        <v>32784.0115918588</v>
      </c>
      <c r="O33" s="26" t="n">
        <f aca="false">O32+O31</f>
        <v>37971.3099979232</v>
      </c>
      <c r="P33" s="26" t="n">
        <f aca="false">P32+P31</f>
        <v>43247.3522764728</v>
      </c>
      <c r="Q33" s="26" t="n">
        <f aca="false">Q32+Q31</f>
        <v>48616.8379373063</v>
      </c>
      <c r="R33" s="26" t="n">
        <f aca="false">R32+R31</f>
        <v>54084.8424510065</v>
      </c>
      <c r="S33" s="26" t="n">
        <f aca="false">S32+S31</f>
        <v>59656.8473258028</v>
      </c>
      <c r="T33" s="26" t="n">
        <f aca="false">T32+T31</f>
        <v>65588.7725905827</v>
      </c>
      <c r="U33" s="26" t="n">
        <f aca="false">U32+U31</f>
        <v>71637.011876545</v>
      </c>
      <c r="V33" s="26" t="n">
        <f aca="false">V32+V31</f>
        <v>77808.4703053843</v>
      </c>
      <c r="W33" s="26" t="n">
        <f aca="false">W32+W31</f>
        <v>84110.6054085308</v>
      </c>
      <c r="X33" s="26" t="n">
        <f aca="false">X32+X31</f>
        <v>90551.4713199289</v>
      </c>
      <c r="Y33" s="26" t="n">
        <f aca="false">Y32+Y31</f>
        <v>97139.766504239</v>
      </c>
    </row>
    <row r="35" customFormat="false" ht="15" hidden="false" customHeight="false" outlineLevel="0" collapsed="false">
      <c r="A35" s="5" t="s">
        <v>151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customFormat="false" ht="15" hidden="false" customHeight="false" outlineLevel="0" collapsed="false">
      <c r="A36" s="7" t="s">
        <v>152</v>
      </c>
      <c r="B36" s="23" t="n">
        <f aca="false">B29+B30</f>
        <v>3500</v>
      </c>
      <c r="C36" s="23" t="n">
        <f aca="false">C29+C30</f>
        <v>3500</v>
      </c>
      <c r="D36" s="23" t="n">
        <f aca="false">D29+D30</f>
        <v>3500</v>
      </c>
      <c r="E36" s="23" t="n">
        <f aca="false">E29+E30</f>
        <v>3500</v>
      </c>
      <c r="F36" s="23" t="n">
        <f aca="false">F29+F30</f>
        <v>3500</v>
      </c>
      <c r="G36" s="23" t="n">
        <f aca="false">G29+G30</f>
        <v>3500</v>
      </c>
      <c r="H36" s="23" t="n">
        <f aca="false">H29+H30</f>
        <v>3500</v>
      </c>
      <c r="I36" s="23" t="n">
        <f aca="false">I29+I30</f>
        <v>3500</v>
      </c>
      <c r="J36" s="23" t="n">
        <f aca="false">J29+J30</f>
        <v>3500</v>
      </c>
      <c r="K36" s="23" t="n">
        <f aca="false">K29+K30</f>
        <v>3500</v>
      </c>
      <c r="L36" s="23" t="n">
        <f aca="false">L29+L30</f>
        <v>3500</v>
      </c>
      <c r="M36" s="23" t="n">
        <f aca="false">M29+M30</f>
        <v>3500</v>
      </c>
      <c r="N36" s="23" t="n">
        <f aca="false">N29+N30</f>
        <v>3500</v>
      </c>
      <c r="O36" s="23" t="n">
        <f aca="false">O29+O30</f>
        <v>3500</v>
      </c>
      <c r="P36" s="23" t="n">
        <f aca="false">P29+P30</f>
        <v>3500</v>
      </c>
      <c r="Q36" s="23" t="n">
        <f aca="false">Q29+Q30</f>
        <v>3500</v>
      </c>
      <c r="R36" s="23" t="n">
        <f aca="false">R29+R30</f>
        <v>3500</v>
      </c>
      <c r="S36" s="23" t="n">
        <f aca="false">S29+S30</f>
        <v>3500</v>
      </c>
      <c r="T36" s="23" t="n">
        <f aca="false">T29+T30</f>
        <v>3250</v>
      </c>
      <c r="U36" s="23" t="n">
        <f aca="false">U29+U30</f>
        <v>3250</v>
      </c>
      <c r="V36" s="23" t="n">
        <f aca="false">V29+V30</f>
        <v>3250</v>
      </c>
      <c r="W36" s="23" t="n">
        <f aca="false">W29+W30</f>
        <v>3250</v>
      </c>
      <c r="X36" s="23" t="n">
        <f aca="false">X29+X30</f>
        <v>3250</v>
      </c>
      <c r="Y36" s="23" t="n">
        <f aca="false">Y29+Y30</f>
        <v>3250</v>
      </c>
    </row>
    <row r="37" customFormat="false" ht="15" hidden="false" customHeight="false" outlineLevel="0" collapsed="false">
      <c r="A37" s="7" t="s">
        <v>153</v>
      </c>
      <c r="B37" s="32" t="n">
        <f aca="false">IF(B24&gt;=B36,1,0)</f>
        <v>0</v>
      </c>
      <c r="C37" s="32" t="n">
        <f aca="false">IF(C24&gt;=C36,1,0)</f>
        <v>0</v>
      </c>
      <c r="D37" s="32" t="n">
        <f aca="false">IF(D24&gt;=D36,1,0)</f>
        <v>0</v>
      </c>
      <c r="E37" s="32" t="n">
        <f aca="false">IF(E24&gt;=E36,1,0)</f>
        <v>0</v>
      </c>
      <c r="F37" s="32" t="n">
        <f aca="false">IF(F24&gt;=F36,1,0)</f>
        <v>0</v>
      </c>
      <c r="G37" s="32" t="n">
        <f aca="false">IF(G24&gt;=G36,1,0)</f>
        <v>0</v>
      </c>
      <c r="H37" s="32" t="n">
        <f aca="false">IF(H24&gt;=H36,1,0)</f>
        <v>0</v>
      </c>
      <c r="I37" s="32" t="n">
        <f aca="false">IF(I24&gt;=I36,1,0)</f>
        <v>0</v>
      </c>
      <c r="J37" s="32" t="n">
        <f aca="false">IF(J24&gt;=J36,1,0)</f>
        <v>1</v>
      </c>
      <c r="K37" s="32" t="n">
        <f aca="false">IF(K24&gt;=K36,1,0)</f>
        <v>1</v>
      </c>
      <c r="L37" s="32" t="n">
        <f aca="false">IF(L24&gt;=L36,1,0)</f>
        <v>1</v>
      </c>
      <c r="M37" s="32" t="n">
        <f aca="false">IF(M24&gt;=M36,1,0)</f>
        <v>1</v>
      </c>
      <c r="N37" s="32" t="n">
        <f aca="false">IF(N24&gt;=N36,1,0)</f>
        <v>1</v>
      </c>
      <c r="O37" s="32" t="n">
        <f aca="false">IF(O24&gt;=O36,1,0)</f>
        <v>1</v>
      </c>
      <c r="P37" s="32" t="n">
        <f aca="false">IF(P24&gt;=P36,1,0)</f>
        <v>1</v>
      </c>
      <c r="Q37" s="32" t="n">
        <f aca="false">IF(Q24&gt;=Q36,1,0)</f>
        <v>1</v>
      </c>
      <c r="R37" s="32" t="n">
        <f aca="false">IF(R24&gt;=R36,1,0)</f>
        <v>1</v>
      </c>
      <c r="S37" s="32" t="n">
        <f aca="false">IF(S24&gt;=S36,1,0)</f>
        <v>1</v>
      </c>
      <c r="T37" s="32" t="n">
        <f aca="false">IF(T24&gt;=T36,1,0)</f>
        <v>1</v>
      </c>
      <c r="U37" s="32" t="n">
        <f aca="false">IF(U24&gt;=U36,1,0)</f>
        <v>1</v>
      </c>
      <c r="V37" s="32" t="n">
        <f aca="false">IF(V24&gt;=V36,1,0)</f>
        <v>1</v>
      </c>
      <c r="W37" s="32" t="n">
        <f aca="false">IF(W24&gt;=W36,1,0)</f>
        <v>1</v>
      </c>
      <c r="X37" s="32" t="n">
        <f aca="false">IF(X24&gt;=X36,1,0)</f>
        <v>1</v>
      </c>
      <c r="Y37" s="32" t="n">
        <f aca="false">IF(Y24&gt;=Y36,1,0)</f>
        <v>1</v>
      </c>
    </row>
    <row r="38" customFormat="false" ht="15" hidden="false" customHeight="false" outlineLevel="0" collapsed="false">
      <c r="A38" s="7" t="s">
        <v>154</v>
      </c>
      <c r="B38" s="32" t="n">
        <f aca="false">0</f>
        <v>0</v>
      </c>
      <c r="C38" s="32" t="n">
        <f aca="false">0</f>
        <v>0</v>
      </c>
      <c r="D38" s="32" t="n">
        <f aca="false">IF(SUM(B37:D37)=3,1,0)</f>
        <v>0</v>
      </c>
      <c r="E38" s="32" t="n">
        <f aca="false">IF(SUM(C37:E37)=3,1,0)</f>
        <v>0</v>
      </c>
      <c r="F38" s="32" t="n">
        <f aca="false">IF(SUM(D37:F37)=3,1,0)</f>
        <v>0</v>
      </c>
      <c r="G38" s="32" t="n">
        <f aca="false">IF(SUM(E37:G37)=3,1,0)</f>
        <v>0</v>
      </c>
      <c r="H38" s="32" t="n">
        <f aca="false">IF(SUM(F37:H37)=3,1,0)</f>
        <v>0</v>
      </c>
      <c r="I38" s="32" t="n">
        <f aca="false">IF(SUM(G37:I37)=3,1,0)</f>
        <v>0</v>
      </c>
      <c r="J38" s="32" t="n">
        <f aca="false">IF(SUM(H37:J37)=3,1,0)</f>
        <v>0</v>
      </c>
      <c r="K38" s="32" t="n">
        <f aca="false">IF(SUM(I37:K37)=3,1,0)</f>
        <v>0</v>
      </c>
      <c r="L38" s="32" t="n">
        <f aca="false">IF(SUM(J37:L37)=3,1,0)</f>
        <v>1</v>
      </c>
      <c r="M38" s="32" t="n">
        <f aca="false">IF(SUM(K37:M37)=3,1,0)</f>
        <v>1</v>
      </c>
      <c r="N38" s="32" t="n">
        <f aca="false">IF(SUM(L37:N37)=3,1,0)</f>
        <v>1</v>
      </c>
      <c r="O38" s="32" t="n">
        <f aca="false">IF(SUM(M37:O37)=3,1,0)</f>
        <v>1</v>
      </c>
      <c r="P38" s="32" t="n">
        <f aca="false">IF(SUM(N37:P37)=3,1,0)</f>
        <v>1</v>
      </c>
      <c r="Q38" s="32" t="n">
        <f aca="false">IF(SUM(O37:Q37)=3,1,0)</f>
        <v>1</v>
      </c>
      <c r="R38" s="32" t="n">
        <f aca="false">IF(SUM(P37:R37)=3,1,0)</f>
        <v>1</v>
      </c>
      <c r="S38" s="32" t="n">
        <f aca="false">IF(SUM(Q37:S37)=3,1,0)</f>
        <v>1</v>
      </c>
      <c r="T38" s="32" t="n">
        <f aca="false">IF(SUM(R37:T37)=3,1,0)</f>
        <v>1</v>
      </c>
      <c r="U38" s="32" t="n">
        <f aca="false">IF(SUM(S37:U37)=3,1,0)</f>
        <v>1</v>
      </c>
      <c r="V38" s="32" t="n">
        <f aca="false">IF(SUM(T37:V37)=3,1,0)</f>
        <v>1</v>
      </c>
      <c r="W38" s="32" t="n">
        <f aca="false">IF(SUM(U37:W37)=3,1,0)</f>
        <v>1</v>
      </c>
      <c r="X38" s="32" t="n">
        <f aca="false">IF(SUM(V37:X37)=3,1,0)</f>
        <v>1</v>
      </c>
      <c r="Y38" s="32" t="n">
        <f aca="false">IF(SUM(W37:Y37)=3,1,0)</f>
        <v>1</v>
      </c>
    </row>
    <row r="39" customFormat="false" ht="15" hidden="false" customHeight="false" outlineLevel="0" collapsed="false">
      <c r="A39" s="7" t="s">
        <v>155</v>
      </c>
      <c r="B39" s="33" t="n">
        <f aca="false">IF(B33&gt;=Supuestos!$B$14*B36,1,0)</f>
        <v>0</v>
      </c>
      <c r="C39" s="33" t="n">
        <f aca="false">IF(C33&gt;=Supuestos!$B$14*C36,1,0)</f>
        <v>0</v>
      </c>
      <c r="D39" s="33" t="n">
        <f aca="false">IF(D33&gt;=Supuestos!$B$14*D36,1,0)</f>
        <v>0</v>
      </c>
      <c r="E39" s="33" t="n">
        <f aca="false">IF(E33&gt;=Supuestos!$B$14*E36,1,0)</f>
        <v>0</v>
      </c>
      <c r="F39" s="33" t="n">
        <f aca="false">IF(F33&gt;=Supuestos!$B$14*F36,1,0)</f>
        <v>0</v>
      </c>
      <c r="G39" s="33" t="n">
        <f aca="false">IF(G33&gt;=Supuestos!$B$14*G36,1,0)</f>
        <v>0</v>
      </c>
      <c r="H39" s="33" t="n">
        <f aca="false">IF(H33&gt;=Supuestos!$B$14*H36,1,0)</f>
        <v>0</v>
      </c>
      <c r="I39" s="33" t="n">
        <f aca="false">IF(I33&gt;=Supuestos!$B$14*I36,1,0)</f>
        <v>0</v>
      </c>
      <c r="J39" s="33" t="n">
        <f aca="false">IF(J33&gt;=Supuestos!$B$14*J36,1,0)</f>
        <v>1</v>
      </c>
      <c r="K39" s="33" t="n">
        <f aca="false">IF(K33&gt;=Supuestos!$B$14*K36,1,0)</f>
        <v>1</v>
      </c>
      <c r="L39" s="33" t="n">
        <f aca="false">IF(L33&gt;=Supuestos!$B$14*L36,1,0)</f>
        <v>1</v>
      </c>
      <c r="M39" s="33" t="n">
        <f aca="false">IF(M33&gt;=Supuestos!$B$14*M36,1,0)</f>
        <v>1</v>
      </c>
      <c r="N39" s="33" t="n">
        <f aca="false">IF(N33&gt;=Supuestos!$B$14*N36,1,0)</f>
        <v>1</v>
      </c>
      <c r="O39" s="33" t="n">
        <f aca="false">IF(O33&gt;=Supuestos!$B$14*O36,1,0)</f>
        <v>1</v>
      </c>
      <c r="P39" s="33" t="n">
        <f aca="false">IF(P33&gt;=Supuestos!$B$14*P36,1,0)</f>
        <v>1</v>
      </c>
      <c r="Q39" s="33" t="n">
        <f aca="false">IF(Q33&gt;=Supuestos!$B$14*Q36,1,0)</f>
        <v>1</v>
      </c>
      <c r="R39" s="33" t="n">
        <f aca="false">IF(R33&gt;=Supuestos!$B$14*R36,1,0)</f>
        <v>1</v>
      </c>
      <c r="S39" s="33" t="n">
        <f aca="false">IF(S33&gt;=Supuestos!$B$14*S36,1,0)</f>
        <v>1</v>
      </c>
      <c r="T39" s="33" t="n">
        <f aca="false">IF(T33&gt;=Supuestos!$B$14*T36,1,0)</f>
        <v>1</v>
      </c>
      <c r="U39" s="33" t="n">
        <f aca="false">IF(U33&gt;=Supuestos!$B$14*U36,1,0)</f>
        <v>1</v>
      </c>
      <c r="V39" s="33" t="n">
        <f aca="false">IF(V33&gt;=Supuestos!$B$14*V36,1,0)</f>
        <v>1</v>
      </c>
      <c r="W39" s="33" t="n">
        <f aca="false">IF(W33&gt;=Supuestos!$B$14*W36,1,0)</f>
        <v>1</v>
      </c>
      <c r="X39" s="33" t="n">
        <f aca="false">IF(X33&gt;=Supuestos!$B$14*X36,1,0)</f>
        <v>1</v>
      </c>
      <c r="Y39" s="33" t="n">
        <f aca="false">IF(Y33&gt;=Supuestos!$B$14*Y36,1,0)</f>
        <v>1</v>
      </c>
    </row>
    <row r="40" customFormat="false" ht="15" hidden="false" customHeight="false" outlineLevel="0" collapsed="false">
      <c r="A40" s="7" t="s">
        <v>156</v>
      </c>
      <c r="B40" s="32" t="n">
        <f aca="false">IF(MIN($B33:B33)&gt;=0,1,0)</f>
        <v>1</v>
      </c>
      <c r="C40" s="32" t="n">
        <f aca="false">IF(MIN($B33:C33)&gt;=0,1,0)</f>
        <v>1</v>
      </c>
      <c r="D40" s="32" t="n">
        <f aca="false">IF(MIN($B33:D33)&gt;=0,1,0)</f>
        <v>1</v>
      </c>
      <c r="E40" s="32" t="n">
        <f aca="false">IF(MIN($B33:E33)&gt;=0,1,0)</f>
        <v>1</v>
      </c>
      <c r="F40" s="32" t="n">
        <f aca="false">IF(MIN($B33:F33)&gt;=0,1,0)</f>
        <v>1</v>
      </c>
      <c r="G40" s="32" t="n">
        <f aca="false">IF(MIN($B33:G33)&gt;=0,1,0)</f>
        <v>1</v>
      </c>
      <c r="H40" s="32" t="n">
        <f aca="false">IF(MIN($B33:H33)&gt;=0,1,0)</f>
        <v>1</v>
      </c>
      <c r="I40" s="32" t="n">
        <f aca="false">IF(MIN($B33:I33)&gt;=0,1,0)</f>
        <v>1</v>
      </c>
      <c r="J40" s="32" t="n">
        <f aca="false">IF(MIN($B33:J33)&gt;=0,1,0)</f>
        <v>1</v>
      </c>
      <c r="K40" s="32" t="n">
        <f aca="false">IF(MIN($B33:K33)&gt;=0,1,0)</f>
        <v>1</v>
      </c>
      <c r="L40" s="32" t="n">
        <f aca="false">IF(MIN($B33:L33)&gt;=0,1,0)</f>
        <v>1</v>
      </c>
      <c r="M40" s="32" t="n">
        <f aca="false">IF(MIN($B33:M33)&gt;=0,1,0)</f>
        <v>1</v>
      </c>
      <c r="N40" s="32" t="n">
        <f aca="false">IF(MIN($B33:N33)&gt;=0,1,0)</f>
        <v>1</v>
      </c>
      <c r="O40" s="32" t="n">
        <f aca="false">IF(MIN($B33:O33)&gt;=0,1,0)</f>
        <v>1</v>
      </c>
      <c r="P40" s="32" t="n">
        <f aca="false">IF(MIN($B33:P33)&gt;=0,1,0)</f>
        <v>1</v>
      </c>
      <c r="Q40" s="32" t="n">
        <f aca="false">IF(MIN($B33:Q33)&gt;=0,1,0)</f>
        <v>1</v>
      </c>
      <c r="R40" s="32" t="n">
        <f aca="false">IF(MIN($B33:R33)&gt;=0,1,0)</f>
        <v>1</v>
      </c>
      <c r="S40" s="32" t="n">
        <f aca="false">IF(MIN($B33:S33)&gt;=0,1,0)</f>
        <v>1</v>
      </c>
      <c r="T40" s="32" t="n">
        <f aca="false">IF(MIN($B33:T33)&gt;=0,1,0)</f>
        <v>1</v>
      </c>
      <c r="U40" s="32" t="n">
        <f aca="false">IF(MIN($B33:U33)&gt;=0,1,0)</f>
        <v>1</v>
      </c>
      <c r="V40" s="32" t="n">
        <f aca="false">IF(MIN($B33:V33)&gt;=0,1,0)</f>
        <v>1</v>
      </c>
      <c r="W40" s="32" t="n">
        <f aca="false">IF(MIN($B33:W33)&gt;=0,1,0)</f>
        <v>1</v>
      </c>
      <c r="X40" s="32" t="n">
        <f aca="false">IF(MIN($B33:X33)&gt;=0,1,0)</f>
        <v>1</v>
      </c>
      <c r="Y40" s="32" t="n">
        <f aca="false">IF(MIN($B33:Y33)&gt;=0,1,0)</f>
        <v>1</v>
      </c>
    </row>
    <row r="41" customFormat="false" ht="15" hidden="false" customHeight="false" outlineLevel="0" collapsed="false">
      <c r="A41" s="31" t="s">
        <v>157</v>
      </c>
      <c r="B41" s="34" t="n">
        <f aca="false">IF(B38+B39+B40=3,1,0)</f>
        <v>0</v>
      </c>
      <c r="C41" s="34" t="n">
        <f aca="false">IF(C38+C39+C40=3,1,0)</f>
        <v>0</v>
      </c>
      <c r="D41" s="34" t="n">
        <f aca="false">IF(D38+D39+D40=3,1,0)</f>
        <v>0</v>
      </c>
      <c r="E41" s="34" t="n">
        <f aca="false">IF(E38+E39+E40=3,1,0)</f>
        <v>0</v>
      </c>
      <c r="F41" s="34" t="n">
        <f aca="false">IF(F38+F39+F40=3,1,0)</f>
        <v>0</v>
      </c>
      <c r="G41" s="34" t="n">
        <f aca="false">IF(G38+G39+G40=3,1,0)</f>
        <v>0</v>
      </c>
      <c r="H41" s="34" t="n">
        <f aca="false">IF(H38+H39+H40=3,1,0)</f>
        <v>0</v>
      </c>
      <c r="I41" s="34" t="n">
        <f aca="false">IF(I38+I39+I40=3,1,0)</f>
        <v>0</v>
      </c>
      <c r="J41" s="34" t="n">
        <f aca="false">IF(J38+J39+J40=3,1,0)</f>
        <v>0</v>
      </c>
      <c r="K41" s="34" t="n">
        <f aca="false">IF(K38+K39+K40=3,1,0)</f>
        <v>0</v>
      </c>
      <c r="L41" s="34" t="n">
        <f aca="false">IF(L38+L39+L40=3,1,0)</f>
        <v>1</v>
      </c>
      <c r="M41" s="34" t="n">
        <f aca="false">IF(M38+M39+M40=3,1,0)</f>
        <v>1</v>
      </c>
      <c r="N41" s="34" t="n">
        <f aca="false">IF(N38+N39+N40=3,1,0)</f>
        <v>1</v>
      </c>
      <c r="O41" s="34" t="n">
        <f aca="false">IF(O38+O39+O40=3,1,0)</f>
        <v>1</v>
      </c>
      <c r="P41" s="34" t="n">
        <f aca="false">IF(P38+P39+P40=3,1,0)</f>
        <v>1</v>
      </c>
      <c r="Q41" s="34" t="n">
        <f aca="false">IF(Q38+Q39+Q40=3,1,0)</f>
        <v>1</v>
      </c>
      <c r="R41" s="34" t="n">
        <f aca="false">IF(R38+R39+R40=3,1,0)</f>
        <v>1</v>
      </c>
      <c r="S41" s="34" t="n">
        <f aca="false">IF(S38+S39+S40=3,1,0)</f>
        <v>1</v>
      </c>
      <c r="T41" s="34" t="n">
        <f aca="false">IF(T38+T39+T40=3,1,0)</f>
        <v>1</v>
      </c>
      <c r="U41" s="34" t="n">
        <f aca="false">IF(U38+U39+U40=3,1,0)</f>
        <v>1</v>
      </c>
      <c r="V41" s="34" t="n">
        <f aca="false">IF(V38+V39+V40=3,1,0)</f>
        <v>1</v>
      </c>
      <c r="W41" s="34" t="n">
        <f aca="false">IF(W38+W39+W40=3,1,0)</f>
        <v>1</v>
      </c>
      <c r="X41" s="34" t="n">
        <f aca="false">IF(X38+X39+X40=3,1,0)</f>
        <v>1</v>
      </c>
      <c r="Y41" s="34" t="n">
        <f aca="false">IF(Y38+Y39+Y40=3,1,0)</f>
        <v>1</v>
      </c>
    </row>
    <row r="42" customFormat="false" ht="15" hidden="false" customHeight="false" outlineLevel="0" collapsed="false">
      <c r="A42" s="7" t="s">
        <v>158</v>
      </c>
      <c r="B42" s="33" t="n">
        <f aca="false">IF(B33&lt;Supuestos!$B$12,1,0)</f>
        <v>0</v>
      </c>
      <c r="C42" s="33" t="n">
        <f aca="false">IF(C33&lt;Supuestos!$B$12,1,0)</f>
        <v>1</v>
      </c>
      <c r="D42" s="33" t="n">
        <f aca="false">IF(D33&lt;Supuestos!$B$12,1,0)</f>
        <v>1</v>
      </c>
      <c r="E42" s="33" t="n">
        <f aca="false">IF(E33&lt;Supuestos!$B$12,1,0)</f>
        <v>1</v>
      </c>
      <c r="F42" s="33" t="n">
        <f aca="false">IF(F33&lt;Supuestos!$B$12,1,0)</f>
        <v>1</v>
      </c>
      <c r="G42" s="33" t="n">
        <f aca="false">IF(G33&lt;Supuestos!$B$12,1,0)</f>
        <v>0</v>
      </c>
      <c r="H42" s="33" t="n">
        <f aca="false">IF(H33&lt;Supuestos!$B$12,1,0)</f>
        <v>0</v>
      </c>
      <c r="I42" s="33" t="n">
        <f aca="false">IF(I33&lt;Supuestos!$B$12,1,0)</f>
        <v>0</v>
      </c>
      <c r="J42" s="33" t="n">
        <f aca="false">IF(J33&lt;Supuestos!$B$12,1,0)</f>
        <v>0</v>
      </c>
      <c r="K42" s="33" t="n">
        <f aca="false">IF(K33&lt;Supuestos!$B$12,1,0)</f>
        <v>0</v>
      </c>
      <c r="L42" s="33" t="n">
        <f aca="false">IF(L33&lt;Supuestos!$B$12,1,0)</f>
        <v>0</v>
      </c>
      <c r="M42" s="33" t="n">
        <f aca="false">IF(M33&lt;Supuestos!$B$12,1,0)</f>
        <v>0</v>
      </c>
      <c r="N42" s="33" t="n">
        <f aca="false">IF(N33&lt;Supuestos!$B$12,1,0)</f>
        <v>0</v>
      </c>
      <c r="O42" s="33" t="n">
        <f aca="false">IF(O33&lt;Supuestos!$B$12,1,0)</f>
        <v>0</v>
      </c>
      <c r="P42" s="33" t="n">
        <f aca="false">IF(P33&lt;Supuestos!$B$12,1,0)</f>
        <v>0</v>
      </c>
      <c r="Q42" s="33" t="n">
        <f aca="false">IF(Q33&lt;Supuestos!$B$12,1,0)</f>
        <v>0</v>
      </c>
      <c r="R42" s="33" t="n">
        <f aca="false">IF(R33&lt;Supuestos!$B$12,1,0)</f>
        <v>0</v>
      </c>
      <c r="S42" s="33" t="n">
        <f aca="false">IF(S33&lt;Supuestos!$B$12,1,0)</f>
        <v>0</v>
      </c>
      <c r="T42" s="33" t="n">
        <f aca="false">IF(T33&lt;Supuestos!$B$12,1,0)</f>
        <v>0</v>
      </c>
      <c r="U42" s="33" t="n">
        <f aca="false">IF(U33&lt;Supuestos!$B$12,1,0)</f>
        <v>0</v>
      </c>
      <c r="V42" s="33" t="n">
        <f aca="false">IF(V33&lt;Supuestos!$B$12,1,0)</f>
        <v>0</v>
      </c>
      <c r="W42" s="33" t="n">
        <f aca="false">IF(W33&lt;Supuestos!$B$12,1,0)</f>
        <v>0</v>
      </c>
      <c r="X42" s="33" t="n">
        <f aca="false">IF(X33&lt;Supuestos!$B$12,1,0)</f>
        <v>0</v>
      </c>
      <c r="Y42" s="33" t="n">
        <f aca="false">IF(Y33&lt;Supuestos!$B$12,1,0)</f>
        <v>0</v>
      </c>
    </row>
    <row r="43" customFormat="false" ht="15" hidden="false" customHeight="false" outlineLevel="0" collapsed="false">
      <c r="A43" s="7" t="s">
        <v>159</v>
      </c>
      <c r="B43" s="32" t="n">
        <f aca="false">IF(B33&lt;0,1,0)</f>
        <v>0</v>
      </c>
      <c r="C43" s="32" t="n">
        <f aca="false">IF(C33&lt;0,1,0)</f>
        <v>0</v>
      </c>
      <c r="D43" s="32" t="n">
        <f aca="false">IF(D33&lt;0,1,0)</f>
        <v>0</v>
      </c>
      <c r="E43" s="32" t="n">
        <f aca="false">IF(E33&lt;0,1,0)</f>
        <v>0</v>
      </c>
      <c r="F43" s="32" t="n">
        <f aca="false">IF(F33&lt;0,1,0)</f>
        <v>0</v>
      </c>
      <c r="G43" s="32" t="n">
        <f aca="false">IF(G33&lt;0,1,0)</f>
        <v>0</v>
      </c>
      <c r="H43" s="32" t="n">
        <f aca="false">IF(H33&lt;0,1,0)</f>
        <v>0</v>
      </c>
      <c r="I43" s="32" t="n">
        <f aca="false">IF(I33&lt;0,1,0)</f>
        <v>0</v>
      </c>
      <c r="J43" s="32" t="n">
        <f aca="false">IF(J33&lt;0,1,0)</f>
        <v>0</v>
      </c>
      <c r="K43" s="32" t="n">
        <f aca="false">IF(K33&lt;0,1,0)</f>
        <v>0</v>
      </c>
      <c r="L43" s="32" t="n">
        <f aca="false">IF(L33&lt;0,1,0)</f>
        <v>0</v>
      </c>
      <c r="M43" s="32" t="n">
        <f aca="false">IF(M33&lt;0,1,0)</f>
        <v>0</v>
      </c>
      <c r="N43" s="32" t="n">
        <f aca="false">IF(N33&lt;0,1,0)</f>
        <v>0</v>
      </c>
      <c r="O43" s="32" t="n">
        <f aca="false">IF(O33&lt;0,1,0)</f>
        <v>0</v>
      </c>
      <c r="P43" s="32" t="n">
        <f aca="false">IF(P33&lt;0,1,0)</f>
        <v>0</v>
      </c>
      <c r="Q43" s="32" t="n">
        <f aca="false">IF(Q33&lt;0,1,0)</f>
        <v>0</v>
      </c>
      <c r="R43" s="32" t="n">
        <f aca="false">IF(R33&lt;0,1,0)</f>
        <v>0</v>
      </c>
      <c r="S43" s="32" t="n">
        <f aca="false">IF(S33&lt;0,1,0)</f>
        <v>0</v>
      </c>
      <c r="T43" s="32" t="n">
        <f aca="false">IF(T33&lt;0,1,0)</f>
        <v>0</v>
      </c>
      <c r="U43" s="32" t="n">
        <f aca="false">IF(U33&lt;0,1,0)</f>
        <v>0</v>
      </c>
      <c r="V43" s="32" t="n">
        <f aca="false">IF(V33&lt;0,1,0)</f>
        <v>0</v>
      </c>
      <c r="W43" s="32" t="n">
        <f aca="false">IF(W33&lt;0,1,0)</f>
        <v>0</v>
      </c>
      <c r="X43" s="32" t="n">
        <f aca="false">IF(X33&lt;0,1,0)</f>
        <v>0</v>
      </c>
      <c r="Y43" s="32" t="n">
        <f aca="false">IF(Y33&lt;0,1,0)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2" style="0" width="11"/>
  </cols>
  <sheetData>
    <row r="1" customFormat="false" ht="17.35" hidden="false" customHeight="false" outlineLevel="0" collapsed="false">
      <c r="A1" s="4" t="s">
        <v>160</v>
      </c>
    </row>
    <row r="3" customFormat="false" ht="15" hidden="false" customHeight="false" outlineLevel="0" collapsed="false">
      <c r="A3" s="27" t="s">
        <v>161</v>
      </c>
      <c r="B3" s="28" t="n">
        <v>1</v>
      </c>
      <c r="C3" s="28" t="n">
        <v>2</v>
      </c>
      <c r="D3" s="28" t="n">
        <v>3</v>
      </c>
      <c r="E3" s="28" t="n">
        <v>4</v>
      </c>
      <c r="F3" s="28" t="n">
        <v>5</v>
      </c>
      <c r="G3" s="28" t="n">
        <v>6</v>
      </c>
      <c r="H3" s="28" t="n">
        <v>7</v>
      </c>
      <c r="I3" s="28" t="n">
        <v>8</v>
      </c>
      <c r="J3" s="28" t="n">
        <v>9</v>
      </c>
      <c r="K3" s="28" t="n">
        <v>10</v>
      </c>
      <c r="L3" s="28" t="n">
        <v>11</v>
      </c>
      <c r="M3" s="28" t="n">
        <v>12</v>
      </c>
      <c r="N3" s="28" t="n">
        <v>13</v>
      </c>
    </row>
    <row r="4" customFormat="false" ht="15" hidden="false" customHeight="false" outlineLevel="0" collapsed="false">
      <c r="A4" s="16" t="s">
        <v>162</v>
      </c>
      <c r="B4" s="30" t="n">
        <f aca="false">Supuestos!$B$11</f>
        <v>5000</v>
      </c>
      <c r="C4" s="35" t="n">
        <f aca="false">B26</f>
        <v>4920</v>
      </c>
      <c r="D4" s="35" t="n">
        <f aca="false">C26</f>
        <v>4920</v>
      </c>
      <c r="E4" s="35" t="n">
        <f aca="false">D26</f>
        <v>4920</v>
      </c>
      <c r="F4" s="35" t="n">
        <f aca="false">E26</f>
        <v>4920</v>
      </c>
      <c r="G4" s="35" t="n">
        <f aca="false">F26</f>
        <v>4920</v>
      </c>
      <c r="H4" s="35" t="n">
        <f aca="false">G26</f>
        <v>4920</v>
      </c>
      <c r="I4" s="35" t="n">
        <f aca="false">H26</f>
        <v>4920</v>
      </c>
      <c r="J4" s="35" t="n">
        <f aca="false">I26</f>
        <v>4920</v>
      </c>
      <c r="K4" s="35" t="n">
        <f aca="false">J26</f>
        <v>4920</v>
      </c>
      <c r="L4" s="35" t="n">
        <f aca="false">K26</f>
        <v>4920</v>
      </c>
      <c r="M4" s="35" t="n">
        <f aca="false">L26</f>
        <v>4920</v>
      </c>
      <c r="N4" s="35" t="n">
        <f aca="false">M26</f>
        <v>4920</v>
      </c>
    </row>
    <row r="5" customFormat="false" ht="15" hidden="false" customHeight="false" outlineLevel="0" collapsed="false">
      <c r="A5" s="5" t="s">
        <v>163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customFormat="false" ht="15" hidden="false" customHeight="false" outlineLevel="0" collapsed="false">
      <c r="A6" s="7" t="s">
        <v>164</v>
      </c>
      <c r="B6" s="18" t="n">
        <v>600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customFormat="false" ht="15" hidden="false" customHeight="false" outlineLevel="0" collapsed="false">
      <c r="A7" s="7" t="s">
        <v>165</v>
      </c>
      <c r="B7" s="18" t="n">
        <v>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customFormat="false" ht="15" hidden="false" customHeight="false" outlineLevel="0" collapsed="false">
      <c r="A8" s="7" t="s">
        <v>166</v>
      </c>
      <c r="B8" s="18" t="n">
        <v>400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customFormat="false" ht="15" hidden="false" customHeight="false" outlineLevel="0" collapsed="false">
      <c r="A9" s="7" t="s">
        <v>167</v>
      </c>
      <c r="B9" s="18" t="n">
        <v>100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customFormat="false" ht="15" hidden="false" customHeight="false" outlineLevel="0" collapsed="false">
      <c r="A10" s="7" t="s">
        <v>168</v>
      </c>
      <c r="B10" s="18" t="n">
        <v>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customFormat="false" ht="15" hidden="false" customHeight="false" outlineLevel="0" collapsed="false">
      <c r="A11" s="16" t="s">
        <v>169</v>
      </c>
      <c r="B11" s="26" t="n">
        <f aca="false">SUM(B6:B10)</f>
        <v>1100</v>
      </c>
      <c r="C11" s="26" t="n">
        <f aca="false">SUM(C6:C10)</f>
        <v>0</v>
      </c>
      <c r="D11" s="26" t="n">
        <f aca="false">SUM(D6:D10)</f>
        <v>0</v>
      </c>
      <c r="E11" s="26" t="n">
        <f aca="false">SUM(E6:E10)</f>
        <v>0</v>
      </c>
      <c r="F11" s="26" t="n">
        <f aca="false">SUM(F6:F10)</f>
        <v>0</v>
      </c>
      <c r="G11" s="26" t="n">
        <f aca="false">SUM(G6:G10)</f>
        <v>0</v>
      </c>
      <c r="H11" s="26" t="n">
        <f aca="false">SUM(H6:H10)</f>
        <v>0</v>
      </c>
      <c r="I11" s="26" t="n">
        <f aca="false">SUM(I6:I10)</f>
        <v>0</v>
      </c>
      <c r="J11" s="26" t="n">
        <f aca="false">SUM(J6:J10)</f>
        <v>0</v>
      </c>
      <c r="K11" s="26" t="n">
        <f aca="false">SUM(K6:K10)</f>
        <v>0</v>
      </c>
      <c r="L11" s="26" t="n">
        <f aca="false">SUM(L6:L10)</f>
        <v>0</v>
      </c>
      <c r="M11" s="26" t="n">
        <f aca="false">SUM(M6:M10)</f>
        <v>0</v>
      </c>
      <c r="N11" s="26" t="n">
        <f aca="false">SUM(N6:N10)</f>
        <v>0</v>
      </c>
    </row>
    <row r="13" customFormat="false" ht="15" hidden="false" customHeight="false" outlineLevel="0" collapsed="false">
      <c r="A13" s="5" t="s">
        <v>170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customFormat="false" ht="15" hidden="false" customHeight="false" outlineLevel="0" collapsed="false">
      <c r="A14" s="7" t="s">
        <v>171</v>
      </c>
      <c r="B14" s="18" t="n">
        <v>400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customFormat="false" ht="15" hidden="false" customHeight="false" outlineLevel="0" collapsed="false">
      <c r="A15" s="7" t="s">
        <v>172</v>
      </c>
      <c r="B15" s="18" t="n">
        <v>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customFormat="false" ht="15" hidden="false" customHeight="false" outlineLevel="0" collapsed="false">
      <c r="A16" s="7" t="s">
        <v>173</v>
      </c>
      <c r="B16" s="18" t="n">
        <v>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customFormat="false" ht="15" hidden="false" customHeight="false" outlineLevel="0" collapsed="false">
      <c r="A17" s="7" t="s">
        <v>174</v>
      </c>
      <c r="B17" s="18" t="n">
        <v>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customFormat="false" ht="15" hidden="false" customHeight="false" outlineLevel="0" collapsed="false">
      <c r="A18" s="7" t="s">
        <v>175</v>
      </c>
      <c r="B18" s="18" t="n">
        <v>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customFormat="false" ht="15" hidden="false" customHeight="false" outlineLevel="0" collapsed="false">
      <c r="A19" s="7" t="s">
        <v>176</v>
      </c>
      <c r="B19" s="18" t="n">
        <v>120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customFormat="false" ht="15" hidden="false" customHeight="false" outlineLevel="0" collapsed="false">
      <c r="A20" s="7" t="s">
        <v>177</v>
      </c>
      <c r="B20" s="18" t="n">
        <v>600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customFormat="false" ht="15" hidden="false" customHeight="false" outlineLevel="0" collapsed="false">
      <c r="A21" s="7" t="s">
        <v>178</v>
      </c>
      <c r="B21" s="18" t="n">
        <v>60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customFormat="false" ht="15" hidden="false" customHeight="false" outlineLevel="0" collapsed="false">
      <c r="A22" s="7" t="s">
        <v>179</v>
      </c>
      <c r="B22" s="18" t="n">
        <v>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customFormat="false" ht="15" hidden="false" customHeight="false" outlineLevel="0" collapsed="false">
      <c r="A23" s="16" t="s">
        <v>180</v>
      </c>
      <c r="B23" s="26" t="n">
        <f aca="false">SUM(B14:B22)</f>
        <v>1180</v>
      </c>
      <c r="C23" s="26" t="n">
        <f aca="false">SUM(C14:C22)</f>
        <v>0</v>
      </c>
      <c r="D23" s="26" t="n">
        <f aca="false">SUM(D14:D22)</f>
        <v>0</v>
      </c>
      <c r="E23" s="26" t="n">
        <f aca="false">SUM(E14:E22)</f>
        <v>0</v>
      </c>
      <c r="F23" s="26" t="n">
        <f aca="false">SUM(F14:F22)</f>
        <v>0</v>
      </c>
      <c r="G23" s="26" t="n">
        <f aca="false">SUM(G14:G22)</f>
        <v>0</v>
      </c>
      <c r="H23" s="26" t="n">
        <f aca="false">SUM(H14:H22)</f>
        <v>0</v>
      </c>
      <c r="I23" s="26" t="n">
        <f aca="false">SUM(I14:I22)</f>
        <v>0</v>
      </c>
      <c r="J23" s="26" t="n">
        <f aca="false">SUM(J14:J22)</f>
        <v>0</v>
      </c>
      <c r="K23" s="26" t="n">
        <f aca="false">SUM(K14:K22)</f>
        <v>0</v>
      </c>
      <c r="L23" s="26" t="n">
        <f aca="false">SUM(L14:L22)</f>
        <v>0</v>
      </c>
      <c r="M23" s="26" t="n">
        <f aca="false">SUM(M14:M22)</f>
        <v>0</v>
      </c>
      <c r="N23" s="26" t="n">
        <f aca="false">SUM(N14:N22)</f>
        <v>0</v>
      </c>
    </row>
    <row r="25" customFormat="false" ht="15" hidden="false" customHeight="false" outlineLevel="0" collapsed="false">
      <c r="A25" s="16" t="s">
        <v>181</v>
      </c>
      <c r="B25" s="26" t="n">
        <f aca="false">B11-B23</f>
        <v>-80</v>
      </c>
      <c r="C25" s="26" t="n">
        <f aca="false">C11-C23</f>
        <v>0</v>
      </c>
      <c r="D25" s="26" t="n">
        <f aca="false">D11-D23</f>
        <v>0</v>
      </c>
      <c r="E25" s="26" t="n">
        <f aca="false">E11-E23</f>
        <v>0</v>
      </c>
      <c r="F25" s="26" t="n">
        <f aca="false">F11-F23</f>
        <v>0</v>
      </c>
      <c r="G25" s="26" t="n">
        <f aca="false">G11-G23</f>
        <v>0</v>
      </c>
      <c r="H25" s="26" t="n">
        <f aca="false">H11-H23</f>
        <v>0</v>
      </c>
      <c r="I25" s="26" t="n">
        <f aca="false">I11-I23</f>
        <v>0</v>
      </c>
      <c r="J25" s="26" t="n">
        <f aca="false">J11-J23</f>
        <v>0</v>
      </c>
      <c r="K25" s="26" t="n">
        <f aca="false">K11-K23</f>
        <v>0</v>
      </c>
      <c r="L25" s="26" t="n">
        <f aca="false">L11-L23</f>
        <v>0</v>
      </c>
      <c r="M25" s="26" t="n">
        <f aca="false">M11-M23</f>
        <v>0</v>
      </c>
      <c r="N25" s="26" t="n">
        <f aca="false">N11-N23</f>
        <v>0</v>
      </c>
    </row>
    <row r="26" customFormat="false" ht="15" hidden="false" customHeight="false" outlineLevel="0" collapsed="false">
      <c r="A26" s="16" t="s">
        <v>182</v>
      </c>
      <c r="B26" s="26" t="n">
        <f aca="false">B4+B25</f>
        <v>4920</v>
      </c>
      <c r="C26" s="26" t="n">
        <f aca="false">C4+C25</f>
        <v>4920</v>
      </c>
      <c r="D26" s="26" t="n">
        <f aca="false">D4+D25</f>
        <v>4920</v>
      </c>
      <c r="E26" s="26" t="n">
        <f aca="false">E4+E25</f>
        <v>4920</v>
      </c>
      <c r="F26" s="26" t="n">
        <f aca="false">F4+F25</f>
        <v>4920</v>
      </c>
      <c r="G26" s="26" t="n">
        <f aca="false">G4+G25</f>
        <v>4920</v>
      </c>
      <c r="H26" s="26" t="n">
        <f aca="false">H4+H25</f>
        <v>4920</v>
      </c>
      <c r="I26" s="26" t="n">
        <f aca="false">I4+I25</f>
        <v>4920</v>
      </c>
      <c r="J26" s="26" t="n">
        <f aca="false">J4+J25</f>
        <v>4920</v>
      </c>
      <c r="K26" s="26" t="n">
        <f aca="false">K4+K25</f>
        <v>4920</v>
      </c>
      <c r="L26" s="26" t="n">
        <f aca="false">L4+L25</f>
        <v>4920</v>
      </c>
      <c r="M26" s="26" t="n">
        <f aca="false">M4+M25</f>
        <v>4920</v>
      </c>
      <c r="N26" s="26" t="n">
        <f aca="false">N4+N25</f>
        <v>4920</v>
      </c>
    </row>
    <row r="27" customFormat="false" ht="15" hidden="false" customHeight="false" outlineLevel="0" collapsed="false">
      <c r="A27" s="16" t="s">
        <v>183</v>
      </c>
      <c r="B27" s="36" t="str">
        <f aca="false">IF(B26&lt;0,"NEGATIVA",IF(B26&lt;Supuestos!$B$12,"BAJO RESERVA","OK"))</f>
        <v>OK</v>
      </c>
      <c r="C27" s="36" t="str">
        <f aca="false">IF(C26&lt;0,"NEGATIVA",IF(C26&lt;Supuestos!$B$12,"BAJO RESERVA","OK"))</f>
        <v>OK</v>
      </c>
      <c r="D27" s="36" t="str">
        <f aca="false">IF(D26&lt;0,"NEGATIVA",IF(D26&lt;Supuestos!$B$12,"BAJO RESERVA","OK"))</f>
        <v>OK</v>
      </c>
      <c r="E27" s="36" t="str">
        <f aca="false">IF(E26&lt;0,"NEGATIVA",IF(E26&lt;Supuestos!$B$12,"BAJO RESERVA","OK"))</f>
        <v>OK</v>
      </c>
      <c r="F27" s="36" t="str">
        <f aca="false">IF(F26&lt;0,"NEGATIVA",IF(F26&lt;Supuestos!$B$12,"BAJO RESERVA","OK"))</f>
        <v>OK</v>
      </c>
      <c r="G27" s="36" t="str">
        <f aca="false">IF(G26&lt;0,"NEGATIVA",IF(G26&lt;Supuestos!$B$12,"BAJO RESERVA","OK"))</f>
        <v>OK</v>
      </c>
      <c r="H27" s="36" t="str">
        <f aca="false">IF(H26&lt;0,"NEGATIVA",IF(H26&lt;Supuestos!$B$12,"BAJO RESERVA","OK"))</f>
        <v>OK</v>
      </c>
      <c r="I27" s="36" t="str">
        <f aca="false">IF(I26&lt;0,"NEGATIVA",IF(I26&lt;Supuestos!$B$12,"BAJO RESERVA","OK"))</f>
        <v>OK</v>
      </c>
      <c r="J27" s="36" t="str">
        <f aca="false">IF(J26&lt;0,"NEGATIVA",IF(J26&lt;Supuestos!$B$12,"BAJO RESERVA","OK"))</f>
        <v>OK</v>
      </c>
      <c r="K27" s="36" t="str">
        <f aca="false">IF(K26&lt;0,"NEGATIVA",IF(K26&lt;Supuestos!$B$12,"BAJO RESERVA","OK"))</f>
        <v>OK</v>
      </c>
      <c r="L27" s="36" t="str">
        <f aca="false">IF(L26&lt;0,"NEGATIVA",IF(L26&lt;Supuestos!$B$12,"BAJO RESERVA","OK"))</f>
        <v>OK</v>
      </c>
      <c r="M27" s="36" t="str">
        <f aca="false">IF(M26&lt;0,"NEGATIVA",IF(M26&lt;Supuestos!$B$12,"BAJO RESERVA","OK"))</f>
        <v>OK</v>
      </c>
      <c r="N27" s="36" t="str">
        <f aca="false">IF(N26&lt;0,"NEGATIVA",IF(N26&lt;Supuestos!$B$12,"BAJO RESERVA","OK"))</f>
        <v>OK</v>
      </c>
    </row>
    <row r="29" customFormat="false" ht="15" hidden="false" customHeight="false" outlineLevel="0" collapsed="false">
      <c r="A29" s="12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2026-10-07T16:31:18Z</dcterms:created>
  <dc:creator>openpyxl</dc:creator>
  <dc:description/>
  <dc:language>en-US</dc:language>
  <cp:lastModifiedBy/>
  <dcterms:modified xsi:type="dcterms:W3CDTF">2026-10-07T16:31:18Z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